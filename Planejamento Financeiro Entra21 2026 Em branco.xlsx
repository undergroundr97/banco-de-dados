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uest.bu\Desktop\bancodedadosclone\banco-de-dados\"/>
    </mc:Choice>
  </mc:AlternateContent>
  <bookViews>
    <workbookView xWindow="0" yWindow="0" windowWidth="22320" windowHeight="11220" activeTab="1"/>
  </bookViews>
  <sheets>
    <sheet name="Apresentação" sheetId="1" r:id="rId1"/>
    <sheet name="Ponto de Equilibrio" sheetId="47" r:id="rId2"/>
    <sheet name="Movimento de Caixa" sheetId="46" r:id="rId3"/>
    <sheet name="Simulador" sheetId="44" r:id="rId4"/>
    <sheet name="Markup" sheetId="43" r:id="rId5"/>
    <sheet name="Encargos " sheetId="42" r:id="rId6"/>
    <sheet name="MEI" sheetId="39" r:id="rId7"/>
    <sheet name="SIMPLES" sheetId="40" r:id="rId8"/>
    <sheet name="Distribuição do Recebimento" sheetId="33" r:id="rId9"/>
    <sheet name="Analise do Preço de Compras" sheetId="21" r:id="rId10"/>
    <sheet name="Ficha Técnica" sheetId="45" r:id="rId11"/>
    <sheet name="Fluxo de Caixa Mensal" sheetId="7" r:id="rId12"/>
    <sheet name="Planilha1" sheetId="48" r:id="rId13"/>
    <sheet name="DRE  PREVISTO" sheetId="10" r:id="rId14"/>
    <sheet name="Parametrização" sheetId="12" r:id="rId15"/>
  </sheets>
  <externalReferences>
    <externalReference r:id="rId16"/>
    <externalReference r:id="rId17"/>
  </externalReferences>
  <definedNames>
    <definedName name="Cliente">[1]!Clientes[Código do Cliente]</definedName>
    <definedName name="COD_ENTRADA">#REF!</definedName>
    <definedName name="COD_ESTOQUE">#REF!</definedName>
    <definedName name="COD_QUANTIDADE">#REF!</definedName>
    <definedName name="COD_SAÍDA">#REF!</definedName>
    <definedName name="ESTOQUE">#REF!</definedName>
    <definedName name="Fornecedor">[1]!Fornecedores[Código do Fornecedor]</definedName>
    <definedName name="Item">[1]!Itens[Código do Item]</definedName>
    <definedName name="Local">[1]!Locais[Local]</definedName>
    <definedName name="Unidade">[1]!Unidades[Unidade]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47" l="1"/>
  <c r="B42" i="10"/>
  <c r="W42" i="10"/>
  <c r="Y42" i="10"/>
  <c r="U42" i="10"/>
  <c r="S42" i="10"/>
  <c r="O42" i="10"/>
  <c r="M42" i="10"/>
  <c r="K42" i="10"/>
  <c r="I42" i="10"/>
  <c r="G42" i="10"/>
  <c r="B16" i="10"/>
  <c r="C18" i="10"/>
  <c r="Q9" i="10"/>
  <c r="E42" i="10" l="1"/>
  <c r="Q42" i="10"/>
  <c r="F10" i="47"/>
  <c r="Y36" i="10"/>
  <c r="W36" i="10"/>
  <c r="U36" i="10"/>
  <c r="S36" i="10"/>
  <c r="Q36" i="10"/>
  <c r="O36" i="10"/>
  <c r="M36" i="10"/>
  <c r="K36" i="10"/>
  <c r="I36" i="10"/>
  <c r="G36" i="10"/>
  <c r="E36" i="10"/>
  <c r="B21" i="43"/>
  <c r="D15" i="47"/>
  <c r="C10" i="47"/>
  <c r="C9" i="47"/>
  <c r="F9" i="47" s="1"/>
  <c r="Y9" i="10"/>
  <c r="Y33" i="10" s="1"/>
  <c r="W9" i="10"/>
  <c r="W33" i="10" s="1"/>
  <c r="U9" i="10"/>
  <c r="U33" i="10" s="1"/>
  <c r="S9" i="10"/>
  <c r="B26" i="33" s="1"/>
  <c r="Q33" i="10"/>
  <c r="O9" i="10"/>
  <c r="O33" i="10" s="1"/>
  <c r="M9" i="10"/>
  <c r="M33" i="10" s="1"/>
  <c r="K9" i="10"/>
  <c r="K33" i="10" s="1"/>
  <c r="I9" i="10"/>
  <c r="I33" i="10" s="1"/>
  <c r="G9" i="10"/>
  <c r="G33" i="10" s="1"/>
  <c r="C9" i="10"/>
  <c r="C33" i="10" s="1"/>
  <c r="E9" i="10"/>
  <c r="E33" i="10" s="1"/>
  <c r="I8" i="40"/>
  <c r="G8" i="40"/>
  <c r="G15" i="47"/>
  <c r="G16" i="47"/>
  <c r="S33" i="10" l="1"/>
  <c r="E44" i="46"/>
  <c r="D43" i="46"/>
  <c r="F42" i="46"/>
  <c r="F45" i="46" s="1"/>
  <c r="F5" i="46"/>
  <c r="F6" i="46" s="1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F24" i="46" s="1"/>
  <c r="F25" i="46" s="1"/>
  <c r="F26" i="46" s="1"/>
  <c r="F27" i="46" s="1"/>
  <c r="F28" i="46" s="1"/>
  <c r="F29" i="46" s="1"/>
  <c r="F30" i="46" s="1"/>
  <c r="F31" i="46" s="1"/>
  <c r="F32" i="46" s="1"/>
  <c r="F33" i="46" s="1"/>
  <c r="F34" i="46" s="1"/>
  <c r="F35" i="46" s="1"/>
  <c r="F36" i="46" s="1"/>
  <c r="F37" i="46" s="1"/>
  <c r="F38" i="46" s="1"/>
  <c r="F39" i="46" s="1"/>
  <c r="F40" i="46" s="1"/>
  <c r="D6" i="45" l="1"/>
  <c r="D7" i="45"/>
  <c r="D8" i="45"/>
  <c r="D9" i="45"/>
  <c r="D10" i="45"/>
  <c r="D11" i="45"/>
  <c r="D12" i="45"/>
  <c r="D13" i="45"/>
  <c r="D14" i="45"/>
  <c r="D15" i="45"/>
  <c r="D16" i="45"/>
  <c r="D5" i="45"/>
  <c r="E20" i="45"/>
  <c r="F20" i="45" s="1"/>
  <c r="E21" i="45"/>
  <c r="F21" i="45" s="1"/>
  <c r="E22" i="45"/>
  <c r="F22" i="45" s="1"/>
  <c r="E23" i="45"/>
  <c r="F23" i="45" s="1"/>
  <c r="E19" i="45"/>
  <c r="F19" i="45" s="1"/>
  <c r="E6" i="45"/>
  <c r="E5" i="45"/>
  <c r="A6" i="45"/>
  <c r="A7" i="45"/>
  <c r="E7" i="45" s="1"/>
  <c r="A8" i="45"/>
  <c r="A9" i="45"/>
  <c r="A10" i="45"/>
  <c r="A11" i="45"/>
  <c r="E11" i="45" s="1"/>
  <c r="A12" i="45"/>
  <c r="E12" i="45" s="1"/>
  <c r="A13" i="45"/>
  <c r="A14" i="45"/>
  <c r="E14" i="45" s="1"/>
  <c r="A15" i="45"/>
  <c r="A16" i="45"/>
  <c r="A5" i="45"/>
  <c r="C5" i="21"/>
  <c r="C6" i="21"/>
  <c r="C7" i="21"/>
  <c r="C8" i="21"/>
  <c r="C9" i="21"/>
  <c r="C10" i="21"/>
  <c r="C11" i="21"/>
  <c r="C12" i="21"/>
  <c r="C13" i="21"/>
  <c r="C14" i="21"/>
  <c r="C15" i="21"/>
  <c r="C16" i="21"/>
  <c r="C17" i="21"/>
  <c r="C18" i="21"/>
  <c r="C4" i="21"/>
  <c r="Y3" i="10"/>
  <c r="W3" i="10"/>
  <c r="U3" i="10"/>
  <c r="S3" i="10"/>
  <c r="Q3" i="10"/>
  <c r="O3" i="10"/>
  <c r="M3" i="10"/>
  <c r="K3" i="10"/>
  <c r="I3" i="10"/>
  <c r="G3" i="10"/>
  <c r="E3" i="10"/>
  <c r="C3" i="10"/>
  <c r="E5" i="39"/>
  <c r="E6" i="39"/>
  <c r="E4" i="39"/>
  <c r="B30" i="45"/>
  <c r="A30" i="45"/>
  <c r="E30" i="45" s="1"/>
  <c r="F30" i="45" s="1"/>
  <c r="B29" i="45"/>
  <c r="A29" i="45"/>
  <c r="E29" i="45" s="1"/>
  <c r="F29" i="45" s="1"/>
  <c r="B28" i="45"/>
  <c r="A28" i="45"/>
  <c r="E28" i="45" s="1"/>
  <c r="F28" i="45" s="1"/>
  <c r="B27" i="45"/>
  <c r="A27" i="45"/>
  <c r="E27" i="45" s="1"/>
  <c r="F27" i="45" s="1"/>
  <c r="B26" i="45"/>
  <c r="A26" i="45"/>
  <c r="E26" i="45" s="1"/>
  <c r="F26" i="45" s="1"/>
  <c r="B23" i="45"/>
  <c r="B22" i="45"/>
  <c r="B21" i="45"/>
  <c r="B20" i="45"/>
  <c r="B19" i="45"/>
  <c r="E9" i="45" l="1"/>
  <c r="F9" i="45" s="1"/>
  <c r="E8" i="45"/>
  <c r="F8" i="45" s="1"/>
  <c r="E16" i="45"/>
  <c r="F16" i="45" s="1"/>
  <c r="E15" i="45"/>
  <c r="F15" i="45" s="1"/>
  <c r="E13" i="45"/>
  <c r="F13" i="45" s="1"/>
  <c r="E10" i="45"/>
  <c r="F10" i="45" s="1"/>
  <c r="F14" i="45"/>
  <c r="F6" i="45"/>
  <c r="F12" i="45"/>
  <c r="F7" i="45"/>
  <c r="F5" i="45"/>
  <c r="F31" i="45"/>
  <c r="F24" i="45"/>
  <c r="F11" i="45"/>
  <c r="F17" i="45" l="1"/>
  <c r="F32" i="45" s="1"/>
  <c r="D20" i="10"/>
  <c r="Y20" i="10" l="1"/>
  <c r="W20" i="10"/>
  <c r="U20" i="10"/>
  <c r="S20" i="10"/>
  <c r="Q20" i="10"/>
  <c r="O20" i="10"/>
  <c r="M20" i="10"/>
  <c r="K20" i="10"/>
  <c r="I20" i="10"/>
  <c r="G20" i="10"/>
  <c r="E20" i="10"/>
  <c r="A52" i="10"/>
  <c r="Z42" i="10"/>
  <c r="Z36" i="10" s="1"/>
  <c r="Z35" i="10" s="1"/>
  <c r="Z23" i="10"/>
  <c r="Z21" i="10" s="1"/>
  <c r="Y23" i="10"/>
  <c r="Y21" i="10" s="1"/>
  <c r="X42" i="10"/>
  <c r="X36" i="10" s="1"/>
  <c r="X35" i="10" s="1"/>
  <c r="X23" i="10"/>
  <c r="X21" i="10" s="1"/>
  <c r="W23" i="10"/>
  <c r="W21" i="10" s="1"/>
  <c r="V42" i="10"/>
  <c r="V36" i="10" s="1"/>
  <c r="V35" i="10" s="1"/>
  <c r="V23" i="10"/>
  <c r="U23" i="10"/>
  <c r="U21" i="10" s="1"/>
  <c r="V21" i="10"/>
  <c r="T42" i="10"/>
  <c r="T36" i="10" s="1"/>
  <c r="T35" i="10" s="1"/>
  <c r="T23" i="10"/>
  <c r="T21" i="10" s="1"/>
  <c r="S23" i="10"/>
  <c r="S21" i="10" s="1"/>
  <c r="R42" i="10"/>
  <c r="R36" i="10" s="1"/>
  <c r="R35" i="10" s="1"/>
  <c r="R23" i="10"/>
  <c r="R21" i="10" s="1"/>
  <c r="Q23" i="10"/>
  <c r="Q21" i="10" s="1"/>
  <c r="P42" i="10"/>
  <c r="P36" i="10" s="1"/>
  <c r="P35" i="10" s="1"/>
  <c r="P23" i="10"/>
  <c r="P21" i="10" s="1"/>
  <c r="O23" i="10"/>
  <c r="O21" i="10"/>
  <c r="N42" i="10"/>
  <c r="N36" i="10" s="1"/>
  <c r="N35" i="10" s="1"/>
  <c r="N23" i="10"/>
  <c r="N21" i="10" s="1"/>
  <c r="M23" i="10"/>
  <c r="M21" i="10"/>
  <c r="L42" i="10"/>
  <c r="L36" i="10" s="1"/>
  <c r="L35" i="10" s="1"/>
  <c r="L23" i="10"/>
  <c r="L21" i="10" s="1"/>
  <c r="K23" i="10"/>
  <c r="K21" i="10" s="1"/>
  <c r="J42" i="10"/>
  <c r="J36" i="10" s="1"/>
  <c r="J35" i="10" s="1"/>
  <c r="J23" i="10"/>
  <c r="J21" i="10" s="1"/>
  <c r="I23" i="10"/>
  <c r="I21" i="10" s="1"/>
  <c r="H42" i="10"/>
  <c r="H36" i="10" s="1"/>
  <c r="H35" i="10" s="1"/>
  <c r="H23" i="10"/>
  <c r="H21" i="10" s="1"/>
  <c r="G23" i="10"/>
  <c r="G21" i="10" s="1"/>
  <c r="F42" i="10"/>
  <c r="F36" i="10" s="1"/>
  <c r="F35" i="10" s="1"/>
  <c r="F23" i="10"/>
  <c r="E23" i="10"/>
  <c r="E21" i="10" s="1"/>
  <c r="F21" i="10"/>
  <c r="D9" i="10"/>
  <c r="D14" i="10" l="1"/>
  <c r="D33" i="10"/>
  <c r="D12" i="10"/>
  <c r="D13" i="10"/>
  <c r="I32" i="44" l="1"/>
  <c r="I29" i="44"/>
  <c r="F29" i="44"/>
  <c r="I28" i="44"/>
  <c r="F28" i="44"/>
  <c r="I27" i="44"/>
  <c r="F27" i="44"/>
  <c r="I25" i="44"/>
  <c r="F25" i="44"/>
  <c r="I24" i="44"/>
  <c r="F24" i="44"/>
  <c r="I23" i="44"/>
  <c r="F23" i="44"/>
  <c r="E23" i="44"/>
  <c r="I22" i="44"/>
  <c r="F22" i="44"/>
  <c r="I21" i="44"/>
  <c r="F21" i="44"/>
  <c r="I18" i="44"/>
  <c r="F18" i="44"/>
  <c r="E17" i="44"/>
  <c r="I15" i="44"/>
  <c r="F15" i="44"/>
  <c r="I14" i="44"/>
  <c r="F14" i="44"/>
  <c r="I13" i="44"/>
  <c r="F13" i="44"/>
  <c r="I12" i="44"/>
  <c r="F12" i="44"/>
  <c r="E12" i="44"/>
  <c r="I9" i="44"/>
  <c r="F9" i="44"/>
  <c r="H8" i="44"/>
  <c r="H17" i="44"/>
  <c r="F21" i="43"/>
  <c r="F23" i="43" s="1"/>
  <c r="E21" i="43"/>
  <c r="E23" i="43" s="1"/>
  <c r="D21" i="43"/>
  <c r="D23" i="43" s="1"/>
  <c r="C21" i="43"/>
  <c r="C23" i="43" s="1"/>
  <c r="G22" i="42"/>
  <c r="F22" i="42"/>
  <c r="E22" i="42"/>
  <c r="D22" i="42"/>
  <c r="C22" i="42"/>
  <c r="B22" i="42"/>
  <c r="G18" i="42"/>
  <c r="G19" i="42" s="1"/>
  <c r="D18" i="42"/>
  <c r="C18" i="42"/>
  <c r="F17" i="42"/>
  <c r="F18" i="42" s="1"/>
  <c r="F19" i="42" s="1"/>
  <c r="E17" i="42"/>
  <c r="E18" i="42" s="1"/>
  <c r="D17" i="42"/>
  <c r="C17" i="42"/>
  <c r="B17" i="42"/>
  <c r="B18" i="42" s="1"/>
  <c r="B19" i="42" s="1"/>
  <c r="G15" i="42"/>
  <c r="B15" i="42"/>
  <c r="F14" i="42"/>
  <c r="F15" i="42" s="1"/>
  <c r="F28" i="42" s="1"/>
  <c r="E14" i="42"/>
  <c r="E15" i="42" s="1"/>
  <c r="D14" i="42"/>
  <c r="D15" i="42" s="1"/>
  <c r="C14" i="42"/>
  <c r="C15" i="42" s="1"/>
  <c r="C24" i="42" s="1"/>
  <c r="B14" i="42"/>
  <c r="G12" i="42"/>
  <c r="F12" i="42"/>
  <c r="E12" i="42"/>
  <c r="D12" i="42"/>
  <c r="C12" i="42"/>
  <c r="B12" i="42"/>
  <c r="F33" i="45" l="1"/>
  <c r="F34" i="45" s="1"/>
  <c r="G24" i="42"/>
  <c r="B28" i="42"/>
  <c r="F24" i="42"/>
  <c r="C19" i="42"/>
  <c r="D19" i="42"/>
  <c r="S14" i="21"/>
  <c r="S17" i="21"/>
  <c r="S22" i="21"/>
  <c r="S5" i="21"/>
  <c r="S8" i="21"/>
  <c r="S15" i="21"/>
  <c r="S23" i="21"/>
  <c r="S6" i="21"/>
  <c r="S10" i="21"/>
  <c r="S13" i="21"/>
  <c r="S18" i="21"/>
  <c r="S21" i="21"/>
  <c r="S9" i="21"/>
  <c r="S12" i="21"/>
  <c r="S20" i="21"/>
  <c r="S11" i="21"/>
  <c r="S16" i="21"/>
  <c r="S19" i="21"/>
  <c r="S4" i="21"/>
  <c r="S7" i="21"/>
  <c r="H18" i="44"/>
  <c r="H32" i="44" s="1"/>
  <c r="H31" i="44" s="1"/>
  <c r="D6" i="44"/>
  <c r="E6" i="44" s="1"/>
  <c r="H9" i="44"/>
  <c r="H10" i="44" s="1"/>
  <c r="E11" i="44"/>
  <c r="E28" i="42"/>
  <c r="E24" i="42"/>
  <c r="D29" i="42"/>
  <c r="D25" i="42"/>
  <c r="G29" i="42"/>
  <c r="G25" i="42"/>
  <c r="G26" i="42" s="1"/>
  <c r="G34" i="42" s="1"/>
  <c r="B25" i="42"/>
  <c r="B29" i="42"/>
  <c r="B30" i="42" s="1"/>
  <c r="F25" i="42"/>
  <c r="F26" i="42" s="1"/>
  <c r="F29" i="42"/>
  <c r="F30" i="42" s="1"/>
  <c r="D24" i="42"/>
  <c r="D28" i="42"/>
  <c r="D30" i="42" s="1"/>
  <c r="C29" i="42"/>
  <c r="C25" i="42"/>
  <c r="C26" i="42" s="1"/>
  <c r="E19" i="42"/>
  <c r="C28" i="42"/>
  <c r="G28" i="42"/>
  <c r="G30" i="42" s="1"/>
  <c r="B24" i="42"/>
  <c r="B26" i="42" s="1"/>
  <c r="D26" i="42" l="1"/>
  <c r="D34" i="42" s="1"/>
  <c r="F36" i="42" s="1"/>
  <c r="I31" i="44"/>
  <c r="H28" i="44"/>
  <c r="H25" i="44"/>
  <c r="H15" i="44"/>
  <c r="H23" i="44"/>
  <c r="H22" i="44"/>
  <c r="H13" i="44"/>
  <c r="H29" i="44"/>
  <c r="H12" i="44"/>
  <c r="H27" i="44"/>
  <c r="H24" i="44"/>
  <c r="H14" i="44"/>
  <c r="I10" i="44"/>
  <c r="H21" i="44"/>
  <c r="I17" i="44"/>
  <c r="I8" i="44"/>
  <c r="B34" i="42"/>
  <c r="F34" i="42"/>
  <c r="C30" i="42"/>
  <c r="C34" i="42" s="1"/>
  <c r="E25" i="42"/>
  <c r="E26" i="42" s="1"/>
  <c r="E29" i="42"/>
  <c r="E30" i="42" s="1"/>
  <c r="E34" i="42" l="1"/>
  <c r="H20" i="44"/>
  <c r="I20" i="44" s="1"/>
  <c r="H11" i="44"/>
  <c r="I11" i="44" l="1"/>
  <c r="H16" i="44"/>
  <c r="H19" i="44" l="1"/>
  <c r="I16" i="44"/>
  <c r="H26" i="44" l="1"/>
  <c r="I19" i="44"/>
  <c r="H30" i="44" l="1"/>
  <c r="I26" i="44"/>
  <c r="H33" i="44" l="1"/>
  <c r="I33" i="44" s="1"/>
  <c r="I7" i="44" s="1"/>
  <c r="I30" i="44"/>
  <c r="X15" i="7" l="1"/>
  <c r="V15" i="7"/>
  <c r="T15" i="7"/>
  <c r="R15" i="7"/>
  <c r="P15" i="7"/>
  <c r="N15" i="7"/>
  <c r="L15" i="7"/>
  <c r="J15" i="7"/>
  <c r="H15" i="7"/>
  <c r="F15" i="7"/>
  <c r="D15" i="7"/>
  <c r="B15" i="7"/>
  <c r="A42" i="10"/>
  <c r="A20" i="10"/>
  <c r="A23" i="10" l="1"/>
  <c r="X9" i="10"/>
  <c r="T9" i="10"/>
  <c r="P9" i="10"/>
  <c r="L9" i="10"/>
  <c r="H9" i="10"/>
  <c r="D18" i="10"/>
  <c r="D42" i="10"/>
  <c r="V19" i="7"/>
  <c r="R19" i="7"/>
  <c r="N19" i="7"/>
  <c r="J19" i="7"/>
  <c r="F19" i="7"/>
  <c r="D23" i="10"/>
  <c r="Z9" i="10"/>
  <c r="V9" i="10"/>
  <c r="R9" i="10"/>
  <c r="N9" i="10"/>
  <c r="J9" i="10"/>
  <c r="F9" i="10"/>
  <c r="C42" i="10"/>
  <c r="J14" i="10" l="1"/>
  <c r="J32" i="10"/>
  <c r="J33" i="10"/>
  <c r="J18" i="10"/>
  <c r="R14" i="10"/>
  <c r="R32" i="10"/>
  <c r="R33" i="10"/>
  <c r="R18" i="10"/>
  <c r="Z14" i="10"/>
  <c r="Z18" i="10"/>
  <c r="Z33" i="10"/>
  <c r="Z32" i="10"/>
  <c r="Z31" i="10" s="1"/>
  <c r="H13" i="10"/>
  <c r="H32" i="10"/>
  <c r="H33" i="10"/>
  <c r="H18" i="10"/>
  <c r="P14" i="10"/>
  <c r="P32" i="10"/>
  <c r="P18" i="10"/>
  <c r="P33" i="10"/>
  <c r="X14" i="10"/>
  <c r="X33" i="10"/>
  <c r="X32" i="10"/>
  <c r="X18" i="10"/>
  <c r="F14" i="10"/>
  <c r="F32" i="10"/>
  <c r="F33" i="10"/>
  <c r="F18" i="10"/>
  <c r="N14" i="10"/>
  <c r="N18" i="10"/>
  <c r="N33" i="10"/>
  <c r="N32" i="10"/>
  <c r="N31" i="10" s="1"/>
  <c r="V14" i="10"/>
  <c r="V33" i="10"/>
  <c r="V32" i="10"/>
  <c r="V18" i="10"/>
  <c r="L13" i="10"/>
  <c r="L33" i="10"/>
  <c r="L32" i="10"/>
  <c r="L18" i="10"/>
  <c r="T14" i="10"/>
  <c r="T32" i="10"/>
  <c r="T18" i="10"/>
  <c r="T33" i="10"/>
  <c r="Y18" i="10"/>
  <c r="Y32" i="10"/>
  <c r="W18" i="10"/>
  <c r="V13" i="7" s="1"/>
  <c r="W32" i="10"/>
  <c r="U32" i="10"/>
  <c r="U18" i="10"/>
  <c r="S18" i="10"/>
  <c r="R13" i="7" s="1"/>
  <c r="S32" i="10"/>
  <c r="Q32" i="10"/>
  <c r="Q18" i="10"/>
  <c r="P13" i="7" s="1"/>
  <c r="O32" i="10"/>
  <c r="O31" i="10" s="1"/>
  <c r="O18" i="10"/>
  <c r="N13" i="7" s="1"/>
  <c r="M18" i="10"/>
  <c r="L13" i="7" s="1"/>
  <c r="M32" i="10"/>
  <c r="K18" i="10"/>
  <c r="J13" i="7" s="1"/>
  <c r="K32" i="10"/>
  <c r="K31" i="10" s="1"/>
  <c r="I18" i="10"/>
  <c r="H13" i="7" s="1"/>
  <c r="I32" i="10"/>
  <c r="I31" i="10" s="1"/>
  <c r="G18" i="10"/>
  <c r="F13" i="7" s="1"/>
  <c r="G32" i="10"/>
  <c r="E18" i="10"/>
  <c r="D13" i="7" s="1"/>
  <c r="E32" i="10"/>
  <c r="H19" i="7"/>
  <c r="L19" i="7"/>
  <c r="P19" i="7"/>
  <c r="T19" i="7"/>
  <c r="X19" i="7"/>
  <c r="D19" i="7"/>
  <c r="Q14" i="10"/>
  <c r="B25" i="33"/>
  <c r="E14" i="10"/>
  <c r="B19" i="33"/>
  <c r="B23" i="33"/>
  <c r="B29" i="33"/>
  <c r="G14" i="10"/>
  <c r="B20" i="33"/>
  <c r="B24" i="33"/>
  <c r="I14" i="10"/>
  <c r="B21" i="33"/>
  <c r="U14" i="10"/>
  <c r="B27" i="33"/>
  <c r="B28" i="33"/>
  <c r="B18" i="33"/>
  <c r="S14" i="10"/>
  <c r="K14" i="10"/>
  <c r="B22" i="33"/>
  <c r="AC7" i="10"/>
  <c r="AA7" i="10"/>
  <c r="D32" i="10"/>
  <c r="T13" i="7"/>
  <c r="H12" i="10"/>
  <c r="L12" i="10"/>
  <c r="L14" i="10"/>
  <c r="AC9" i="10"/>
  <c r="H14" i="10"/>
  <c r="G12" i="10"/>
  <c r="Y13" i="10"/>
  <c r="Z13" i="10"/>
  <c r="Y12" i="10"/>
  <c r="Y14" i="10"/>
  <c r="Z12" i="10"/>
  <c r="W13" i="10"/>
  <c r="X13" i="10"/>
  <c r="W12" i="10"/>
  <c r="W14" i="10"/>
  <c r="X12" i="10"/>
  <c r="U13" i="10"/>
  <c r="V13" i="10"/>
  <c r="U12" i="10"/>
  <c r="V12" i="10"/>
  <c r="S13" i="10"/>
  <c r="T13" i="10"/>
  <c r="S12" i="10"/>
  <c r="T12" i="10"/>
  <c r="Q13" i="10"/>
  <c r="R13" i="10"/>
  <c r="Q12" i="10"/>
  <c r="R12" i="10"/>
  <c r="O13" i="10"/>
  <c r="P13" i="10"/>
  <c r="O12" i="10"/>
  <c r="O14" i="10"/>
  <c r="P12" i="10"/>
  <c r="M13" i="10"/>
  <c r="N13" i="10"/>
  <c r="M12" i="10"/>
  <c r="M14" i="10"/>
  <c r="N12" i="10"/>
  <c r="K13" i="10"/>
  <c r="K12" i="10"/>
  <c r="I13" i="10"/>
  <c r="J13" i="10"/>
  <c r="I12" i="10"/>
  <c r="J12" i="10"/>
  <c r="G13" i="10"/>
  <c r="E13" i="10"/>
  <c r="F13" i="10"/>
  <c r="E12" i="10"/>
  <c r="F12" i="10"/>
  <c r="AC23" i="10"/>
  <c r="N14" i="7"/>
  <c r="J14" i="7"/>
  <c r="H14" i="7"/>
  <c r="F14" i="7"/>
  <c r="C23" i="10"/>
  <c r="AC20" i="10"/>
  <c r="C20" i="10"/>
  <c r="AA76" i="10" l="1"/>
  <c r="D4" i="47"/>
  <c r="V31" i="10"/>
  <c r="X13" i="7"/>
  <c r="Y17" i="10"/>
  <c r="L31" i="10"/>
  <c r="S35" i="10"/>
  <c r="K35" i="10"/>
  <c r="G35" i="10"/>
  <c r="Q35" i="10"/>
  <c r="W35" i="10"/>
  <c r="O35" i="10"/>
  <c r="I35" i="10"/>
  <c r="M35" i="10"/>
  <c r="H31" i="10"/>
  <c r="R31" i="10"/>
  <c r="S31" i="10"/>
  <c r="U31" i="10"/>
  <c r="X31" i="10"/>
  <c r="W31" i="10"/>
  <c r="T31" i="10"/>
  <c r="F31" i="10"/>
  <c r="P31" i="10"/>
  <c r="J31" i="10"/>
  <c r="M31" i="10"/>
  <c r="Q31" i="10"/>
  <c r="E31" i="10"/>
  <c r="Y31" i="10"/>
  <c r="G31" i="10"/>
  <c r="B19" i="7"/>
  <c r="AC8" i="10"/>
  <c r="R14" i="7"/>
  <c r="D14" i="7"/>
  <c r="P14" i="7"/>
  <c r="V14" i="7"/>
  <c r="L14" i="7"/>
  <c r="T14" i="7"/>
  <c r="X14" i="7"/>
  <c r="AA23" i="10"/>
  <c r="AA20" i="10"/>
  <c r="C21" i="10"/>
  <c r="J21" i="7" l="1"/>
  <c r="R21" i="7"/>
  <c r="P21" i="7"/>
  <c r="N21" i="7"/>
  <c r="F21" i="7"/>
  <c r="H21" i="7"/>
  <c r="U35" i="10"/>
  <c r="T21" i="7"/>
  <c r="Y35" i="10"/>
  <c r="X21" i="7"/>
  <c r="L21" i="7"/>
  <c r="V21" i="7"/>
  <c r="E35" i="10"/>
  <c r="D21" i="7"/>
  <c r="B14" i="7"/>
  <c r="D23" i="7"/>
  <c r="D30" i="7" s="1"/>
  <c r="F23" i="7"/>
  <c r="F30" i="7" s="1"/>
  <c r="H23" i="7"/>
  <c r="H30" i="7" s="1"/>
  <c r="J23" i="7"/>
  <c r="J30" i="7" s="1"/>
  <c r="L23" i="7"/>
  <c r="L30" i="7" s="1"/>
  <c r="N23" i="7"/>
  <c r="N30" i="7" s="1"/>
  <c r="P23" i="7"/>
  <c r="P30" i="7" s="1"/>
  <c r="R23" i="7"/>
  <c r="R30" i="7" s="1"/>
  <c r="T23" i="7"/>
  <c r="T30" i="7" s="1"/>
  <c r="V23" i="7"/>
  <c r="V30" i="7" s="1"/>
  <c r="X23" i="7"/>
  <c r="X30" i="7" s="1"/>
  <c r="B23" i="7"/>
  <c r="B30" i="7" s="1"/>
  <c r="C36" i="10" l="1"/>
  <c r="B21" i="7" s="1"/>
  <c r="A29" i="10"/>
  <c r="A28" i="10"/>
  <c r="A27" i="10"/>
  <c r="A26" i="10"/>
  <c r="A25" i="10"/>
  <c r="A24" i="10"/>
  <c r="A22" i="10"/>
  <c r="AA38" i="10"/>
  <c r="AA39" i="10"/>
  <c r="AA40" i="10"/>
  <c r="AA41" i="10"/>
  <c r="AA43" i="10"/>
  <c r="AA44" i="10"/>
  <c r="AA45" i="10"/>
  <c r="AA46" i="10"/>
  <c r="AA47" i="10"/>
  <c r="AA48" i="10"/>
  <c r="AA49" i="10"/>
  <c r="AA50" i="10"/>
  <c r="AA51" i="10"/>
  <c r="AA52" i="10"/>
  <c r="AA53" i="10"/>
  <c r="AA54" i="10"/>
  <c r="AA55" i="10"/>
  <c r="AA56" i="10"/>
  <c r="AA57" i="10"/>
  <c r="AA58" i="10"/>
  <c r="AA59" i="10"/>
  <c r="AA60" i="10"/>
  <c r="AA61" i="10"/>
  <c r="AA62" i="10"/>
  <c r="AA63" i="10"/>
  <c r="D17" i="47" s="1"/>
  <c r="G17" i="47" s="1"/>
  <c r="AA37" i="10"/>
  <c r="AA22" i="10"/>
  <c r="AA24" i="10"/>
  <c r="AA25" i="10"/>
  <c r="AA26" i="10"/>
  <c r="AA27" i="10"/>
  <c r="AA28" i="10"/>
  <c r="AA29" i="10"/>
  <c r="A33" i="10"/>
  <c r="A32" i="10"/>
  <c r="A11" i="10"/>
  <c r="A19" i="10"/>
  <c r="A63" i="10"/>
  <c r="A61" i="10"/>
  <c r="A62" i="10"/>
  <c r="A50" i="10"/>
  <c r="A51" i="10"/>
  <c r="A53" i="10"/>
  <c r="A54" i="10"/>
  <c r="A55" i="10"/>
  <c r="A56" i="10"/>
  <c r="A57" i="10"/>
  <c r="A58" i="10"/>
  <c r="A59" i="10"/>
  <c r="A60" i="10"/>
  <c r="A44" i="10"/>
  <c r="A45" i="10"/>
  <c r="A46" i="10"/>
  <c r="A47" i="10"/>
  <c r="A48" i="10"/>
  <c r="A49" i="10"/>
  <c r="A38" i="10"/>
  <c r="A39" i="10"/>
  <c r="A40" i="10"/>
  <c r="A41" i="10"/>
  <c r="A37" i="10"/>
  <c r="Z28" i="7"/>
  <c r="Z18" i="7"/>
  <c r="A19" i="33"/>
  <c r="A20" i="33"/>
  <c r="A21" i="33"/>
  <c r="H12" i="33" s="1"/>
  <c r="A22" i="33"/>
  <c r="A23" i="33"/>
  <c r="A24" i="33"/>
  <c r="A25" i="33"/>
  <c r="L12" i="33" s="1"/>
  <c r="A26" i="33"/>
  <c r="A27" i="33"/>
  <c r="A28" i="33"/>
  <c r="A29" i="33"/>
  <c r="P12" i="33" s="1"/>
  <c r="A18" i="33"/>
  <c r="E12" i="33" s="1"/>
  <c r="D17" i="33"/>
  <c r="H17" i="33" s="1"/>
  <c r="D16" i="33"/>
  <c r="G16" i="33" s="1"/>
  <c r="D15" i="33"/>
  <c r="H15" i="33" s="1"/>
  <c r="D14" i="33"/>
  <c r="D13" i="33"/>
  <c r="E13" i="33" s="1"/>
  <c r="C10" i="33"/>
  <c r="D9" i="33"/>
  <c r="D8" i="33"/>
  <c r="D7" i="33"/>
  <c r="D6" i="33"/>
  <c r="D5" i="33"/>
  <c r="D4" i="33"/>
  <c r="D3" i="33"/>
  <c r="AA21" i="10" l="1"/>
  <c r="I71" i="10"/>
  <c r="Q71" i="10"/>
  <c r="Y71" i="10"/>
  <c r="K71" i="10"/>
  <c r="S71" i="10"/>
  <c r="G71" i="10"/>
  <c r="O71" i="10"/>
  <c r="W71" i="10"/>
  <c r="E71" i="10"/>
  <c r="M71" i="10"/>
  <c r="U71" i="10"/>
  <c r="D10" i="33"/>
  <c r="C31" i="7"/>
  <c r="C39" i="7" s="1"/>
  <c r="F12" i="33"/>
  <c r="N12" i="33"/>
  <c r="J12" i="33"/>
  <c r="I17" i="33"/>
  <c r="E17" i="33"/>
  <c r="E15" i="33"/>
  <c r="J17" i="33"/>
  <c r="F15" i="33"/>
  <c r="G15" i="33"/>
  <c r="F17" i="33"/>
  <c r="I12" i="33"/>
  <c r="M12" i="33"/>
  <c r="K12" i="33"/>
  <c r="G12" i="33"/>
  <c r="A17" i="33"/>
  <c r="A16" i="33" s="1"/>
  <c r="A15" i="33" s="1"/>
  <c r="A14" i="33" s="1"/>
  <c r="A13" i="33" s="1"/>
  <c r="O12" i="33"/>
  <c r="F14" i="33"/>
  <c r="G14" i="33"/>
  <c r="E14" i="33"/>
  <c r="H16" i="33"/>
  <c r="F13" i="33"/>
  <c r="F16" i="33"/>
  <c r="G17" i="33"/>
  <c r="E16" i="33"/>
  <c r="I16" i="33"/>
  <c r="C23" i="7" l="1"/>
  <c r="C30" i="7" s="1"/>
  <c r="Q16" i="33"/>
  <c r="Q17" i="33"/>
  <c r="Q15" i="33"/>
  <c r="Q14" i="33"/>
  <c r="Q13" i="33"/>
  <c r="R23" i="21" l="1"/>
  <c r="T23" i="21" s="1"/>
  <c r="R22" i="21"/>
  <c r="T22" i="21" s="1"/>
  <c r="R21" i="21"/>
  <c r="T21" i="21" s="1"/>
  <c r="R20" i="21"/>
  <c r="T20" i="21" s="1"/>
  <c r="R19" i="21"/>
  <c r="T19" i="21" s="1"/>
  <c r="R18" i="21"/>
  <c r="T18" i="21" s="1"/>
  <c r="R17" i="21"/>
  <c r="T17" i="21" s="1"/>
  <c r="R16" i="21"/>
  <c r="T16" i="21" s="1"/>
  <c r="R15" i="21"/>
  <c r="T15" i="21" s="1"/>
  <c r="R14" i="21"/>
  <c r="T14" i="21" s="1"/>
  <c r="R13" i="21"/>
  <c r="T13" i="21" s="1"/>
  <c r="R12" i="21"/>
  <c r="T12" i="21" s="1"/>
  <c r="R11" i="21"/>
  <c r="T11" i="21" s="1"/>
  <c r="R10" i="21"/>
  <c r="T10" i="21" s="1"/>
  <c r="R9" i="21"/>
  <c r="T9" i="21" s="1"/>
  <c r="R8" i="21"/>
  <c r="T8" i="21" s="1"/>
  <c r="R7" i="21"/>
  <c r="T7" i="21" s="1"/>
  <c r="R6" i="21"/>
  <c r="T6" i="21" s="1"/>
  <c r="R5" i="21"/>
  <c r="T5" i="21" s="1"/>
  <c r="R4" i="21"/>
  <c r="T4" i="21" s="1"/>
  <c r="B33" i="7" l="1"/>
  <c r="B31" i="7" s="1"/>
  <c r="B39" i="7" s="1"/>
  <c r="Y5" i="10"/>
  <c r="Z5" i="10" s="1"/>
  <c r="Y3" i="7" s="1"/>
  <c r="W5" i="10"/>
  <c r="X5" i="10" s="1"/>
  <c r="W3" i="7" s="1"/>
  <c r="U5" i="10"/>
  <c r="V5" i="10" s="1"/>
  <c r="U3" i="7" s="1"/>
  <c r="S5" i="10"/>
  <c r="T5" i="10" s="1"/>
  <c r="S3" i="7" s="1"/>
  <c r="Q5" i="10"/>
  <c r="R5" i="10" s="1"/>
  <c r="Q3" i="7" s="1"/>
  <c r="O5" i="10"/>
  <c r="P5" i="10" s="1"/>
  <c r="O3" i="7" s="1"/>
  <c r="M5" i="10"/>
  <c r="N5" i="10" s="1"/>
  <c r="M3" i="7" s="1"/>
  <c r="K5" i="10"/>
  <c r="L5" i="10" s="1"/>
  <c r="K3" i="7" s="1"/>
  <c r="I5" i="10"/>
  <c r="J5" i="10" s="1"/>
  <c r="I3" i="7" s="1"/>
  <c r="G5" i="10"/>
  <c r="H5" i="10" s="1"/>
  <c r="G3" i="7" s="1"/>
  <c r="E5" i="10"/>
  <c r="F5" i="10" s="1"/>
  <c r="E3" i="7" s="1"/>
  <c r="Y4" i="10"/>
  <c r="Z4" i="10" s="1"/>
  <c r="W4" i="10"/>
  <c r="X4" i="10" s="1"/>
  <c r="U4" i="10"/>
  <c r="V4" i="10" s="1"/>
  <c r="S4" i="10"/>
  <c r="T4" i="10" s="1"/>
  <c r="Q4" i="10"/>
  <c r="R4" i="10" s="1"/>
  <c r="O4" i="10"/>
  <c r="P4" i="10" s="1"/>
  <c r="M4" i="10"/>
  <c r="N4" i="10" s="1"/>
  <c r="K4" i="10"/>
  <c r="L4" i="10" s="1"/>
  <c r="I4" i="10"/>
  <c r="J4" i="10" s="1"/>
  <c r="G4" i="10"/>
  <c r="H4" i="10" s="1"/>
  <c r="E4" i="10"/>
  <c r="F4" i="10" s="1"/>
  <c r="C5" i="10"/>
  <c r="D5" i="10" s="1"/>
  <c r="C3" i="7" s="1"/>
  <c r="C4" i="10"/>
  <c r="D4" i="10" s="1"/>
  <c r="E2" i="7" l="1"/>
  <c r="M2" i="7"/>
  <c r="U2" i="7"/>
  <c r="G2" i="7"/>
  <c r="W2" i="7"/>
  <c r="I2" i="7"/>
  <c r="Q2" i="7"/>
  <c r="Y2" i="7"/>
  <c r="C2" i="7"/>
  <c r="O2" i="7"/>
  <c r="B3" i="7"/>
  <c r="K2" i="7"/>
  <c r="D3" i="7"/>
  <c r="D4" i="7" s="1"/>
  <c r="F3" i="7"/>
  <c r="F4" i="7" s="1"/>
  <c r="H3" i="7"/>
  <c r="H4" i="7" s="1"/>
  <c r="J3" i="7"/>
  <c r="J4" i="7" s="1"/>
  <c r="L3" i="7"/>
  <c r="L4" i="7" s="1"/>
  <c r="N3" i="7"/>
  <c r="N4" i="7" s="1"/>
  <c r="P3" i="7"/>
  <c r="P4" i="7" s="1"/>
  <c r="R3" i="7"/>
  <c r="R4" i="7" s="1"/>
  <c r="T3" i="7"/>
  <c r="T4" i="7" s="1"/>
  <c r="V3" i="7"/>
  <c r="V4" i="7" s="1"/>
  <c r="X3" i="7"/>
  <c r="X4" i="7" s="1"/>
  <c r="S2" i="7"/>
  <c r="B2" i="7"/>
  <c r="D2" i="7"/>
  <c r="F2" i="7"/>
  <c r="H2" i="7"/>
  <c r="J2" i="7"/>
  <c r="L2" i="7"/>
  <c r="N2" i="7"/>
  <c r="P2" i="7"/>
  <c r="R2" i="7"/>
  <c r="T2" i="7"/>
  <c r="V2" i="7"/>
  <c r="X2" i="7"/>
  <c r="D21" i="10" l="1"/>
  <c r="Y31" i="7"/>
  <c r="Y39" i="7" s="1"/>
  <c r="W31" i="7"/>
  <c r="W39" i="7" s="1"/>
  <c r="O31" i="7"/>
  <c r="O39" i="7" s="1"/>
  <c r="G31" i="7"/>
  <c r="G39" i="7" s="1"/>
  <c r="U31" i="7"/>
  <c r="U39" i="7" s="1"/>
  <c r="M31" i="7"/>
  <c r="M39" i="7" s="1"/>
  <c r="E31" i="7"/>
  <c r="E39" i="7" s="1"/>
  <c r="S31" i="7"/>
  <c r="S39" i="7" s="1"/>
  <c r="K31" i="7"/>
  <c r="K39" i="7" s="1"/>
  <c r="Q31" i="7"/>
  <c r="Q39" i="7" s="1"/>
  <c r="I31" i="7"/>
  <c r="I39" i="7" s="1"/>
  <c r="AC24" i="10"/>
  <c r="AC54" i="10"/>
  <c r="AC44" i="10"/>
  <c r="AC29" i="10"/>
  <c r="AC60" i="10"/>
  <c r="AC46" i="10"/>
  <c r="AC50" i="10"/>
  <c r="AC28" i="10"/>
  <c r="AC58" i="10"/>
  <c r="AC62" i="10"/>
  <c r="AC27" i="10"/>
  <c r="AC56" i="10"/>
  <c r="AC22" i="10"/>
  <c r="AC59" i="10"/>
  <c r="AC26" i="10"/>
  <c r="AC47" i="10"/>
  <c r="AC63" i="10"/>
  <c r="AC38" i="10"/>
  <c r="AC52" i="10"/>
  <c r="AC51" i="10"/>
  <c r="AC61" i="10"/>
  <c r="AC45" i="10"/>
  <c r="AC53" i="10"/>
  <c r="AC49" i="10"/>
  <c r="AC25" i="10"/>
  <c r="AC42" i="10"/>
  <c r="AC37" i="10"/>
  <c r="AC48" i="10"/>
  <c r="AC39" i="10"/>
  <c r="AC57" i="10"/>
  <c r="AC55" i="10"/>
  <c r="AC43" i="10"/>
  <c r="AC40" i="10"/>
  <c r="AC41" i="10"/>
  <c r="D36" i="10"/>
  <c r="AC21" i="10" l="1"/>
  <c r="R71" i="10"/>
  <c r="P71" i="10"/>
  <c r="D35" i="10"/>
  <c r="I23" i="7"/>
  <c r="I30" i="7" s="1"/>
  <c r="S23" i="7"/>
  <c r="S30" i="7" s="1"/>
  <c r="O23" i="7"/>
  <c r="O30" i="7" s="1"/>
  <c r="Y23" i="7"/>
  <c r="Y30" i="7" s="1"/>
  <c r="M23" i="7"/>
  <c r="M30" i="7" s="1"/>
  <c r="E23" i="7"/>
  <c r="E30" i="7" s="1"/>
  <c r="Q23" i="7"/>
  <c r="Q30" i="7" s="1"/>
  <c r="U23" i="7"/>
  <c r="U30" i="7" s="1"/>
  <c r="G23" i="7"/>
  <c r="G30" i="7" s="1"/>
  <c r="K23" i="7"/>
  <c r="K30" i="7" s="1"/>
  <c r="W23" i="7"/>
  <c r="W30" i="7" s="1"/>
  <c r="AC36" i="10"/>
  <c r="V71" i="10"/>
  <c r="X71" i="10"/>
  <c r="Z71" i="10"/>
  <c r="F71" i="10"/>
  <c r="J71" i="10"/>
  <c r="H71" i="10"/>
  <c r="T71" i="10"/>
  <c r="L71" i="10"/>
  <c r="N71" i="10"/>
  <c r="AA19" i="7"/>
  <c r="AA21" i="7"/>
  <c r="AA16" i="7"/>
  <c r="AA17" i="7"/>
  <c r="AA18" i="7"/>
  <c r="AA28" i="7"/>
  <c r="D71" i="10" l="1"/>
  <c r="X5" i="7"/>
  <c r="V5" i="7"/>
  <c r="T5" i="7"/>
  <c r="R5" i="7"/>
  <c r="P5" i="7"/>
  <c r="N5" i="7"/>
  <c r="L5" i="7"/>
  <c r="J5" i="7"/>
  <c r="H5" i="7"/>
  <c r="F5" i="7"/>
  <c r="D5" i="7"/>
  <c r="B5" i="7"/>
  <c r="B31" i="10" l="1"/>
  <c r="C12" i="47" s="1"/>
  <c r="F12" i="47" s="1"/>
  <c r="AA38" i="7"/>
  <c r="Z38" i="7"/>
  <c r="AA37" i="7"/>
  <c r="Z37" i="7"/>
  <c r="AA36" i="7"/>
  <c r="Z36" i="7"/>
  <c r="AA35" i="7"/>
  <c r="Z35" i="7"/>
  <c r="AA34" i="7"/>
  <c r="Z34" i="7"/>
  <c r="X33" i="7"/>
  <c r="X31" i="7" s="1"/>
  <c r="X39" i="7" s="1"/>
  <c r="V33" i="7"/>
  <c r="V31" i="7" s="1"/>
  <c r="V39" i="7" s="1"/>
  <c r="T33" i="7"/>
  <c r="T31" i="7" s="1"/>
  <c r="T39" i="7" s="1"/>
  <c r="R33" i="7"/>
  <c r="R31" i="7" s="1"/>
  <c r="R39" i="7" s="1"/>
  <c r="P33" i="7"/>
  <c r="P31" i="7" s="1"/>
  <c r="P39" i="7" s="1"/>
  <c r="N33" i="7"/>
  <c r="N31" i="7" s="1"/>
  <c r="N39" i="7" s="1"/>
  <c r="L33" i="7"/>
  <c r="L31" i="7" s="1"/>
  <c r="L39" i="7" s="1"/>
  <c r="J33" i="7"/>
  <c r="J31" i="7" s="1"/>
  <c r="J39" i="7" s="1"/>
  <c r="H33" i="7"/>
  <c r="H31" i="7" s="1"/>
  <c r="H39" i="7" s="1"/>
  <c r="F33" i="7"/>
  <c r="F31" i="7" s="1"/>
  <c r="F39" i="7" s="1"/>
  <c r="D33" i="7"/>
  <c r="D31" i="7" s="1"/>
  <c r="D39" i="7" s="1"/>
  <c r="AA32" i="7"/>
  <c r="Z32" i="7"/>
  <c r="AA29" i="7"/>
  <c r="Z29" i="7"/>
  <c r="AA27" i="7"/>
  <c r="Z27" i="7"/>
  <c r="AA26" i="7"/>
  <c r="Z26" i="7"/>
  <c r="AA25" i="7"/>
  <c r="Z25" i="7"/>
  <c r="AA24" i="7"/>
  <c r="Z24" i="7"/>
  <c r="AA7" i="7"/>
  <c r="Z7" i="7"/>
  <c r="Z23" i="7" l="1"/>
  <c r="Z30" i="7" s="1"/>
  <c r="AA23" i="7"/>
  <c r="AA30" i="7" s="1"/>
  <c r="E9" i="7"/>
  <c r="U9" i="7"/>
  <c r="Y9" i="7"/>
  <c r="Q9" i="7"/>
  <c r="AA11" i="7"/>
  <c r="AA15" i="7"/>
  <c r="S12" i="7"/>
  <c r="K12" i="7"/>
  <c r="G12" i="7"/>
  <c r="M12" i="7"/>
  <c r="E12" i="7"/>
  <c r="AA14" i="7"/>
  <c r="I12" i="7"/>
  <c r="Y12" i="7"/>
  <c r="U12" i="7"/>
  <c r="AC35" i="10"/>
  <c r="K9" i="7"/>
  <c r="AA33" i="7"/>
  <c r="AA31" i="7" s="1"/>
  <c r="AA39" i="7" s="1"/>
  <c r="W12" i="7"/>
  <c r="I9" i="7"/>
  <c r="Z14" i="7"/>
  <c r="G9" i="7"/>
  <c r="Z33" i="7"/>
  <c r="Z31" i="7" s="1"/>
  <c r="Z39" i="7" s="1"/>
  <c r="O12" i="7" l="1"/>
  <c r="Q12" i="7"/>
  <c r="Q22" i="7" s="1"/>
  <c r="O9" i="7"/>
  <c r="M9" i="7"/>
  <c r="M22" i="7" s="1"/>
  <c r="Y22" i="7"/>
  <c r="U22" i="7"/>
  <c r="I22" i="7"/>
  <c r="E22" i="7"/>
  <c r="G22" i="7"/>
  <c r="S9" i="7"/>
  <c r="S22" i="7" s="1"/>
  <c r="W9" i="7"/>
  <c r="W22" i="7" s="1"/>
  <c r="AA10" i="7"/>
  <c r="C9" i="7"/>
  <c r="K22" i="7"/>
  <c r="O22" i="7" l="1"/>
  <c r="AA9" i="7"/>
  <c r="Z11" i="7" l="1"/>
  <c r="AC19" i="10" l="1"/>
  <c r="AC71" i="10" s="1"/>
  <c r="AC33" i="10"/>
  <c r="AA42" i="10" l="1"/>
  <c r="AA36" i="10" l="1"/>
  <c r="Z21" i="7"/>
  <c r="C35" i="10"/>
  <c r="C71" i="10" s="1"/>
  <c r="AA35" i="10" l="1"/>
  <c r="D14" i="47"/>
  <c r="G14" i="47" s="1"/>
  <c r="AA19" i="10"/>
  <c r="Z15" i="7"/>
  <c r="AA71" i="10" l="1"/>
  <c r="J14" i="47"/>
  <c r="D25" i="33"/>
  <c r="D27" i="33"/>
  <c r="N27" i="33" s="1"/>
  <c r="D28" i="33"/>
  <c r="D20" i="33"/>
  <c r="D29" i="33" l="1"/>
  <c r="P29" i="33" s="1"/>
  <c r="Q29" i="33" s="1"/>
  <c r="Y16" i="10"/>
  <c r="P28" i="33"/>
  <c r="O28" i="33"/>
  <c r="I17" i="10"/>
  <c r="I16" i="10" s="1"/>
  <c r="D21" i="33"/>
  <c r="K17" i="10"/>
  <c r="K16" i="10" s="1"/>
  <c r="D22" i="33"/>
  <c r="M17" i="10"/>
  <c r="M16" i="10" s="1"/>
  <c r="D23" i="33"/>
  <c r="P27" i="33"/>
  <c r="O27" i="33"/>
  <c r="E17" i="10"/>
  <c r="E16" i="10" s="1"/>
  <c r="D19" i="33"/>
  <c r="J20" i="33"/>
  <c r="H20" i="33"/>
  <c r="K20" i="33"/>
  <c r="M20" i="33"/>
  <c r="I20" i="33"/>
  <c r="L20" i="33"/>
  <c r="G20" i="33"/>
  <c r="G17" i="10"/>
  <c r="G16" i="10" s="1"/>
  <c r="S17" i="10"/>
  <c r="S16" i="10" s="1"/>
  <c r="D26" i="33"/>
  <c r="O17" i="10"/>
  <c r="O16" i="10" s="1"/>
  <c r="D24" i="33"/>
  <c r="M25" i="33"/>
  <c r="N25" i="33"/>
  <c r="O25" i="33"/>
  <c r="P25" i="33"/>
  <c r="L25" i="33"/>
  <c r="Q17" i="10"/>
  <c r="Q16" i="10" s="1"/>
  <c r="W17" i="10"/>
  <c r="W16" i="10" s="1"/>
  <c r="U17" i="10"/>
  <c r="U16" i="10" s="1"/>
  <c r="Q27" i="33" l="1"/>
  <c r="Q28" i="33"/>
  <c r="Q25" i="33"/>
  <c r="Q20" i="33"/>
  <c r="G19" i="33"/>
  <c r="J19" i="33"/>
  <c r="F19" i="33"/>
  <c r="I19" i="33"/>
  <c r="H19" i="33"/>
  <c r="K19" i="33"/>
  <c r="L19" i="33"/>
  <c r="Z17" i="10"/>
  <c r="Z16" i="10" s="1"/>
  <c r="O24" i="33"/>
  <c r="M24" i="33"/>
  <c r="N24" i="33"/>
  <c r="L24" i="33"/>
  <c r="P24" i="33"/>
  <c r="K24" i="33"/>
  <c r="N23" i="33"/>
  <c r="L23" i="33"/>
  <c r="O23" i="33"/>
  <c r="K23" i="33"/>
  <c r="M23" i="33"/>
  <c r="J23" i="33"/>
  <c r="P23" i="33"/>
  <c r="P26" i="33"/>
  <c r="N26" i="33"/>
  <c r="O26" i="33"/>
  <c r="M26" i="33"/>
  <c r="O22" i="33"/>
  <c r="J22" i="33"/>
  <c r="M22" i="33"/>
  <c r="L22" i="33"/>
  <c r="I22" i="33"/>
  <c r="N22" i="33"/>
  <c r="K22" i="33"/>
  <c r="L21" i="33"/>
  <c r="J21" i="33"/>
  <c r="I21" i="33"/>
  <c r="K21" i="33"/>
  <c r="M21" i="33"/>
  <c r="N21" i="33"/>
  <c r="H21" i="33"/>
  <c r="X17" i="7" l="1"/>
  <c r="N17" i="7"/>
  <c r="M30" i="33"/>
  <c r="R10" i="7" s="1"/>
  <c r="R9" i="7" s="1"/>
  <c r="F17" i="10"/>
  <c r="F16" i="10" s="1"/>
  <c r="O30" i="33"/>
  <c r="V10" i="7" s="1"/>
  <c r="V9" i="7" s="1"/>
  <c r="Q24" i="33"/>
  <c r="L17" i="7"/>
  <c r="J17" i="10"/>
  <c r="J16" i="10" s="1"/>
  <c r="X17" i="10"/>
  <c r="X16" i="10" s="1"/>
  <c r="Q21" i="33"/>
  <c r="Q26" i="33"/>
  <c r="P17" i="7"/>
  <c r="H17" i="10"/>
  <c r="H16" i="10" s="1"/>
  <c r="P17" i="10"/>
  <c r="P16" i="10" s="1"/>
  <c r="V17" i="10"/>
  <c r="V16" i="10" s="1"/>
  <c r="L30" i="33"/>
  <c r="P10" i="7" s="1"/>
  <c r="Q19" i="33"/>
  <c r="N30" i="33"/>
  <c r="T10" i="7" s="1"/>
  <c r="Q22" i="33"/>
  <c r="N17" i="10"/>
  <c r="N16" i="10" s="1"/>
  <c r="P30" i="33"/>
  <c r="X10" i="7" s="1"/>
  <c r="R17" i="10"/>
  <c r="R16" i="10" s="1"/>
  <c r="H17" i="7"/>
  <c r="L17" i="10"/>
  <c r="L16" i="10" s="1"/>
  <c r="R17" i="7"/>
  <c r="T17" i="10"/>
  <c r="T16" i="10" s="1"/>
  <c r="V17" i="7"/>
  <c r="Q23" i="33"/>
  <c r="F17" i="7"/>
  <c r="D17" i="7"/>
  <c r="D17" i="10"/>
  <c r="D16" i="10" s="1"/>
  <c r="J17" i="7"/>
  <c r="T17" i="7" l="1"/>
  <c r="AA13" i="7"/>
  <c r="AA12" i="7" s="1"/>
  <c r="AA22" i="7" s="1"/>
  <c r="AA40" i="7" s="1"/>
  <c r="C12" i="7"/>
  <c r="C22" i="7" s="1"/>
  <c r="C40" i="7" s="1"/>
  <c r="E7" i="7" s="1"/>
  <c r="E40" i="7" s="1"/>
  <c r="G7" i="7" s="1"/>
  <c r="G40" i="7" s="1"/>
  <c r="I7" i="7" s="1"/>
  <c r="I40" i="7" s="1"/>
  <c r="K7" i="7" s="1"/>
  <c r="K40" i="7" s="1"/>
  <c r="M7" i="7" s="1"/>
  <c r="M40" i="7" s="1"/>
  <c r="O7" i="7" s="1"/>
  <c r="O40" i="7" s="1"/>
  <c r="Q7" i="7" s="1"/>
  <c r="Q40" i="7" s="1"/>
  <c r="S7" i="7" s="1"/>
  <c r="S40" i="7" s="1"/>
  <c r="U7" i="7" s="1"/>
  <c r="U40" i="7" s="1"/>
  <c r="W7" i="7" s="1"/>
  <c r="W40" i="7" s="1"/>
  <c r="Y7" i="7" s="1"/>
  <c r="Y40" i="7" s="1"/>
  <c r="X9" i="7"/>
  <c r="T9" i="7"/>
  <c r="AC18" i="10"/>
  <c r="AC17" i="10" s="1"/>
  <c r="P9" i="7"/>
  <c r="AC16" i="10" l="1"/>
  <c r="D31" i="10" l="1"/>
  <c r="AC32" i="10"/>
  <c r="AC31" i="10" l="1"/>
  <c r="C12" i="10" l="1"/>
  <c r="AA12" i="10" s="1"/>
  <c r="C13" i="10"/>
  <c r="C14" i="10"/>
  <c r="AA14" i="10" s="1"/>
  <c r="AA33" i="10"/>
  <c r="C32" i="10"/>
  <c r="AA32" i="10" s="1"/>
  <c r="AA9" i="10"/>
  <c r="AE35" i="10" l="1"/>
  <c r="AE9" i="10"/>
  <c r="F8" i="40"/>
  <c r="H8" i="40" s="1"/>
  <c r="AA77" i="10"/>
  <c r="AA13" i="10"/>
  <c r="AB13" i="10" s="1"/>
  <c r="Z19" i="7"/>
  <c r="AA8" i="10"/>
  <c r="D5" i="47" s="1"/>
  <c r="AB12" i="10"/>
  <c r="AB14" i="10"/>
  <c r="AB33" i="10"/>
  <c r="AB51" i="10"/>
  <c r="AB19" i="10"/>
  <c r="AB46" i="10"/>
  <c r="AA31" i="10"/>
  <c r="AB26" i="10"/>
  <c r="AB27" i="10"/>
  <c r="C31" i="10"/>
  <c r="B17" i="7" s="1"/>
  <c r="Z17" i="7" s="1"/>
  <c r="AB21" i="10"/>
  <c r="AB22" i="10"/>
  <c r="AB56" i="10"/>
  <c r="AB24" i="10"/>
  <c r="AB37" i="10"/>
  <c r="AB25" i="10"/>
  <c r="AB23" i="10"/>
  <c r="AB40" i="10"/>
  <c r="AB29" i="10"/>
  <c r="AB57" i="10"/>
  <c r="AB28" i="10"/>
  <c r="AB63" i="10"/>
  <c r="AB53" i="10"/>
  <c r="AB50" i="10"/>
  <c r="AB32" i="10"/>
  <c r="AB47" i="10"/>
  <c r="AB44" i="10"/>
  <c r="AB38" i="10"/>
  <c r="AB61" i="10"/>
  <c r="AB42" i="10"/>
  <c r="AB39" i="10"/>
  <c r="AB48" i="10"/>
  <c r="AB20" i="10"/>
  <c r="AB41" i="10"/>
  <c r="AB9" i="10"/>
  <c r="AB49" i="10"/>
  <c r="AB43" i="10"/>
  <c r="AB60" i="10"/>
  <c r="AB45" i="10"/>
  <c r="AB54" i="10"/>
  <c r="AB36" i="10"/>
  <c r="AB62" i="10"/>
  <c r="AB59" i="10"/>
  <c r="AB52" i="10"/>
  <c r="AB35" i="10"/>
  <c r="AB58" i="10"/>
  <c r="AB55" i="10"/>
  <c r="AB31" i="10" l="1"/>
  <c r="AE31" i="10"/>
  <c r="G5" i="47"/>
  <c r="D6" i="47"/>
  <c r="B30" i="33"/>
  <c r="D18" i="33"/>
  <c r="K15" i="47" l="1"/>
  <c r="J7" i="47"/>
  <c r="K7" i="47" s="1"/>
  <c r="J9" i="47"/>
  <c r="K9" i="47" s="1"/>
  <c r="J12" i="47"/>
  <c r="K12" i="47" s="1"/>
  <c r="K17" i="47"/>
  <c r="K16" i="47"/>
  <c r="J10" i="47"/>
  <c r="K10" i="47" s="1"/>
  <c r="K6" i="47"/>
  <c r="K14" i="47"/>
  <c r="D9" i="47"/>
  <c r="E9" i="47" s="1"/>
  <c r="E17" i="47"/>
  <c r="E14" i="47"/>
  <c r="D10" i="47"/>
  <c r="E10" i="47" s="1"/>
  <c r="E6" i="47"/>
  <c r="D12" i="47"/>
  <c r="E12" i="47" s="1"/>
  <c r="J8" i="40"/>
  <c r="K8" i="40" s="1"/>
  <c r="B11" i="10" s="1"/>
  <c r="C17" i="10"/>
  <c r="AA18" i="10"/>
  <c r="AA17" i="10" s="1"/>
  <c r="B13" i="7"/>
  <c r="J18" i="33"/>
  <c r="J30" i="33" s="1"/>
  <c r="L10" i="7" s="1"/>
  <c r="F18" i="33"/>
  <c r="F30" i="33" s="1"/>
  <c r="H18" i="33"/>
  <c r="H30" i="33" s="1"/>
  <c r="H10" i="7" s="1"/>
  <c r="G18" i="33"/>
  <c r="G30" i="33" s="1"/>
  <c r="F10" i="7" s="1"/>
  <c r="I18" i="33"/>
  <c r="I30" i="33" s="1"/>
  <c r="J10" i="7" s="1"/>
  <c r="E18" i="33"/>
  <c r="K18" i="33"/>
  <c r="K30" i="33" s="1"/>
  <c r="N10" i="7" s="1"/>
  <c r="J8" i="47" l="1"/>
  <c r="K8" i="47"/>
  <c r="J11" i="47"/>
  <c r="Z13" i="7"/>
  <c r="AA16" i="10"/>
  <c r="AE16" i="10" s="1"/>
  <c r="AB18" i="10"/>
  <c r="C16" i="10"/>
  <c r="F9" i="7"/>
  <c r="H9" i="7"/>
  <c r="N9" i="7"/>
  <c r="E30" i="33"/>
  <c r="Q18" i="33"/>
  <c r="Q30" i="33" s="1"/>
  <c r="D9" i="7"/>
  <c r="J9" i="7"/>
  <c r="L9" i="7"/>
  <c r="J13" i="47" l="1"/>
  <c r="K11" i="47"/>
  <c r="D11" i="10"/>
  <c r="B10" i="10"/>
  <c r="O11" i="10"/>
  <c r="O10" i="10" s="1"/>
  <c r="Z11" i="10"/>
  <c r="Z10" i="10" s="1"/>
  <c r="Z15" i="10" s="1"/>
  <c r="Z30" i="10" s="1"/>
  <c r="Z34" i="10" s="1"/>
  <c r="Z64" i="10" s="1"/>
  <c r="Z65" i="10" s="1"/>
  <c r="V11" i="10"/>
  <c r="V10" i="10" s="1"/>
  <c r="V15" i="10" s="1"/>
  <c r="V30" i="10" s="1"/>
  <c r="V34" i="10" s="1"/>
  <c r="V64" i="10" s="1"/>
  <c r="V65" i="10" s="1"/>
  <c r="R11" i="10"/>
  <c r="R10" i="10" s="1"/>
  <c r="R15" i="10" s="1"/>
  <c r="R30" i="10" s="1"/>
  <c r="R34" i="10" s="1"/>
  <c r="R64" i="10" s="1"/>
  <c r="R65" i="10" s="1"/>
  <c r="N11" i="10"/>
  <c r="N10" i="10" s="1"/>
  <c r="N15" i="10" s="1"/>
  <c r="N30" i="10" s="1"/>
  <c r="N34" i="10" s="1"/>
  <c r="N64" i="10" s="1"/>
  <c r="N65" i="10" s="1"/>
  <c r="I11" i="10"/>
  <c r="I10" i="10" s="1"/>
  <c r="U11" i="10"/>
  <c r="U10" i="10" s="1"/>
  <c r="Q11" i="10"/>
  <c r="Q10" i="10" s="1"/>
  <c r="G11" i="10"/>
  <c r="G10" i="10" s="1"/>
  <c r="M11" i="10"/>
  <c r="M10" i="10" s="1"/>
  <c r="W11" i="10"/>
  <c r="W10" i="10" s="1"/>
  <c r="K11" i="10"/>
  <c r="K10" i="10" s="1"/>
  <c r="H11" i="10"/>
  <c r="H10" i="10" s="1"/>
  <c r="H15" i="10" s="1"/>
  <c r="H30" i="10" s="1"/>
  <c r="H34" i="10" s="1"/>
  <c r="H64" i="10" s="1"/>
  <c r="H65" i="10" s="1"/>
  <c r="X11" i="10"/>
  <c r="X10" i="10" s="1"/>
  <c r="X15" i="10" s="1"/>
  <c r="X30" i="10" s="1"/>
  <c r="X34" i="10" s="1"/>
  <c r="X64" i="10" s="1"/>
  <c r="X65" i="10" s="1"/>
  <c r="T11" i="10"/>
  <c r="T10" i="10" s="1"/>
  <c r="T15" i="10" s="1"/>
  <c r="T30" i="10" s="1"/>
  <c r="T34" i="10" s="1"/>
  <c r="T64" i="10" s="1"/>
  <c r="T65" i="10" s="1"/>
  <c r="P11" i="10"/>
  <c r="P10" i="10" s="1"/>
  <c r="P15" i="10" s="1"/>
  <c r="P30" i="10" s="1"/>
  <c r="P34" i="10" s="1"/>
  <c r="P64" i="10" s="1"/>
  <c r="P65" i="10" s="1"/>
  <c r="F11" i="10"/>
  <c r="F10" i="10" s="1"/>
  <c r="F15" i="10" s="1"/>
  <c r="F30" i="10" s="1"/>
  <c r="F34" i="10" s="1"/>
  <c r="F64" i="10" s="1"/>
  <c r="F65" i="10" s="1"/>
  <c r="Y11" i="10"/>
  <c r="Y10" i="10" s="1"/>
  <c r="L11" i="10"/>
  <c r="L10" i="10" s="1"/>
  <c r="L15" i="10" s="1"/>
  <c r="L30" i="10" s="1"/>
  <c r="L34" i="10" s="1"/>
  <c r="L64" i="10" s="1"/>
  <c r="L65" i="10" s="1"/>
  <c r="S11" i="10"/>
  <c r="S10" i="10" s="1"/>
  <c r="E11" i="10"/>
  <c r="E10" i="10" s="1"/>
  <c r="J11" i="10"/>
  <c r="J10" i="10" s="1"/>
  <c r="J15" i="10" s="1"/>
  <c r="J30" i="10" s="1"/>
  <c r="J34" i="10" s="1"/>
  <c r="J64" i="10" s="1"/>
  <c r="J65" i="10" s="1"/>
  <c r="C11" i="10"/>
  <c r="AB17" i="10"/>
  <c r="AB16" i="10"/>
  <c r="Z10" i="7"/>
  <c r="Z9" i="7" s="1"/>
  <c r="B9" i="7"/>
  <c r="K13" i="47" l="1"/>
  <c r="J18" i="47"/>
  <c r="K18" i="47" s="1"/>
  <c r="C7" i="47"/>
  <c r="C73" i="10"/>
  <c r="C70" i="10" s="1"/>
  <c r="C69" i="10" s="1"/>
  <c r="V16" i="7"/>
  <c r="V12" i="7" s="1"/>
  <c r="V22" i="7" s="1"/>
  <c r="W15" i="10"/>
  <c r="W30" i="10" s="1"/>
  <c r="W34" i="10" s="1"/>
  <c r="W64" i="10" s="1"/>
  <c r="W65" i="10" s="1"/>
  <c r="K15" i="10"/>
  <c r="K30" i="10" s="1"/>
  <c r="K34" i="10" s="1"/>
  <c r="K64" i="10" s="1"/>
  <c r="K65" i="10" s="1"/>
  <c r="J16" i="7"/>
  <c r="J12" i="7" s="1"/>
  <c r="J22" i="7" s="1"/>
  <c r="C10" i="10"/>
  <c r="AA11" i="10"/>
  <c r="G15" i="10"/>
  <c r="G30" i="10" s="1"/>
  <c r="G34" i="10" s="1"/>
  <c r="G64" i="10" s="1"/>
  <c r="G65" i="10" s="1"/>
  <c r="F16" i="7"/>
  <c r="F12" i="7" s="1"/>
  <c r="F22" i="7" s="1"/>
  <c r="H16" i="7"/>
  <c r="H12" i="7" s="1"/>
  <c r="H22" i="7" s="1"/>
  <c r="I15" i="10"/>
  <c r="I30" i="10" s="1"/>
  <c r="I34" i="10" s="1"/>
  <c r="I64" i="10" s="1"/>
  <c r="I65" i="10" s="1"/>
  <c r="N16" i="7"/>
  <c r="N12" i="7" s="1"/>
  <c r="N22" i="7" s="1"/>
  <c r="O15" i="10"/>
  <c r="O30" i="10" s="1"/>
  <c r="O34" i="10" s="1"/>
  <c r="O64" i="10" s="1"/>
  <c r="O65" i="10" s="1"/>
  <c r="S73" i="10"/>
  <c r="S70" i="10" s="1"/>
  <c r="S69" i="10" s="1"/>
  <c r="N73" i="10"/>
  <c r="N70" i="10" s="1"/>
  <c r="N69" i="10" s="1"/>
  <c r="R73" i="10"/>
  <c r="R70" i="10" s="1"/>
  <c r="R69" i="10" s="1"/>
  <c r="AA73" i="10"/>
  <c r="AA70" i="10" s="1"/>
  <c r="AA69" i="10" s="1"/>
  <c r="V73" i="10"/>
  <c r="V70" i="10" s="1"/>
  <c r="V69" i="10" s="1"/>
  <c r="H73" i="10"/>
  <c r="H70" i="10" s="1"/>
  <c r="H69" i="10" s="1"/>
  <c r="D73" i="10"/>
  <c r="D70" i="10" s="1"/>
  <c r="D69" i="10" s="1"/>
  <c r="L73" i="10"/>
  <c r="L70" i="10" s="1"/>
  <c r="L69" i="10" s="1"/>
  <c r="AC73" i="10"/>
  <c r="AC70" i="10" s="1"/>
  <c r="P73" i="10"/>
  <c r="P70" i="10" s="1"/>
  <c r="P69" i="10" s="1"/>
  <c r="U73" i="10"/>
  <c r="U70" i="10" s="1"/>
  <c r="U69" i="10" s="1"/>
  <c r="E73" i="10"/>
  <c r="E70" i="10" s="1"/>
  <c r="E69" i="10" s="1"/>
  <c r="X73" i="10"/>
  <c r="X70" i="10" s="1"/>
  <c r="X69" i="10" s="1"/>
  <c r="Z73" i="10"/>
  <c r="Z70" i="10" s="1"/>
  <c r="Z69" i="10" s="1"/>
  <c r="F73" i="10"/>
  <c r="F70" i="10" s="1"/>
  <c r="F69" i="10" s="1"/>
  <c r="Y73" i="10"/>
  <c r="Y70" i="10" s="1"/>
  <c r="Y69" i="10" s="1"/>
  <c r="W73" i="10"/>
  <c r="W70" i="10" s="1"/>
  <c r="W69" i="10" s="1"/>
  <c r="J73" i="10"/>
  <c r="J70" i="10" s="1"/>
  <c r="J69" i="10" s="1"/>
  <c r="T73" i="10"/>
  <c r="T70" i="10" s="1"/>
  <c r="T69" i="10" s="1"/>
  <c r="I73" i="10"/>
  <c r="I70" i="10" s="1"/>
  <c r="I69" i="10" s="1"/>
  <c r="G73" i="10"/>
  <c r="G70" i="10" s="1"/>
  <c r="G69" i="10" s="1"/>
  <c r="M73" i="10"/>
  <c r="M70" i="10" s="1"/>
  <c r="M69" i="10" s="1"/>
  <c r="K73" i="10"/>
  <c r="K70" i="10" s="1"/>
  <c r="K69" i="10" s="1"/>
  <c r="Q73" i="10"/>
  <c r="Q70" i="10" s="1"/>
  <c r="Q69" i="10" s="1"/>
  <c r="O73" i="10"/>
  <c r="O70" i="10" s="1"/>
  <c r="O69" i="10" s="1"/>
  <c r="L16" i="7"/>
  <c r="L12" i="7" s="1"/>
  <c r="L22" i="7" s="1"/>
  <c r="M15" i="10"/>
  <c r="M30" i="10" s="1"/>
  <c r="M34" i="10" s="1"/>
  <c r="M64" i="10" s="1"/>
  <c r="M65" i="10" s="1"/>
  <c r="E15" i="10"/>
  <c r="E30" i="10" s="1"/>
  <c r="E34" i="10" s="1"/>
  <c r="E64" i="10" s="1"/>
  <c r="E65" i="10" s="1"/>
  <c r="D16" i="7"/>
  <c r="D12" i="7" s="1"/>
  <c r="D22" i="7" s="1"/>
  <c r="S15" i="10"/>
  <c r="S30" i="10" s="1"/>
  <c r="S34" i="10" s="1"/>
  <c r="S64" i="10" s="1"/>
  <c r="S65" i="10" s="1"/>
  <c r="R16" i="7"/>
  <c r="R12" i="7" s="1"/>
  <c r="R22" i="7" s="1"/>
  <c r="P16" i="7"/>
  <c r="P12" i="7" s="1"/>
  <c r="P22" i="7" s="1"/>
  <c r="Q15" i="10"/>
  <c r="Q30" i="10" s="1"/>
  <c r="Q34" i="10" s="1"/>
  <c r="Q64" i="10" s="1"/>
  <c r="Q65" i="10" s="1"/>
  <c r="U15" i="10"/>
  <c r="U30" i="10" s="1"/>
  <c r="U34" i="10" s="1"/>
  <c r="U64" i="10" s="1"/>
  <c r="U65" i="10" s="1"/>
  <c r="T16" i="7"/>
  <c r="T12" i="7" s="1"/>
  <c r="T22" i="7" s="1"/>
  <c r="X16" i="7"/>
  <c r="X12" i="7" s="1"/>
  <c r="X22" i="7" s="1"/>
  <c r="Y15" i="10"/>
  <c r="Y30" i="10" s="1"/>
  <c r="Y34" i="10" s="1"/>
  <c r="Y64" i="10" s="1"/>
  <c r="Y65" i="10" s="1"/>
  <c r="D7" i="47" l="1"/>
  <c r="F7" i="47"/>
  <c r="G6" i="47" s="1"/>
  <c r="E7" i="47"/>
  <c r="D8" i="47"/>
  <c r="AB11" i="10"/>
  <c r="AA10" i="10"/>
  <c r="AE10" i="10" s="1"/>
  <c r="C15" i="10"/>
  <c r="C30" i="10" s="1"/>
  <c r="C34" i="10" s="1"/>
  <c r="C64" i="10" s="1"/>
  <c r="C65" i="10" s="1"/>
  <c r="B16" i="7"/>
  <c r="AA74" i="10"/>
  <c r="H14" i="47" l="1"/>
  <c r="H17" i="47"/>
  <c r="G7" i="47"/>
  <c r="H7" i="47" s="1"/>
  <c r="G10" i="47"/>
  <c r="H10" i="47" s="1"/>
  <c r="G12" i="47"/>
  <c r="H12" i="47" s="1"/>
  <c r="H6" i="47"/>
  <c r="G9" i="47"/>
  <c r="H9" i="47" s="1"/>
  <c r="G8" i="47"/>
  <c r="G4" i="47"/>
  <c r="J6" i="47" s="1"/>
  <c r="D11" i="47"/>
  <c r="E8" i="47"/>
  <c r="Z16" i="7"/>
  <c r="Z12" i="7" s="1"/>
  <c r="Z22" i="7" s="1"/>
  <c r="Z40" i="7" s="1"/>
  <c r="B12" i="7"/>
  <c r="B22" i="7" s="1"/>
  <c r="B40" i="7" s="1"/>
  <c r="D7" i="7" s="1"/>
  <c r="D40" i="7" s="1"/>
  <c r="F7" i="7" s="1"/>
  <c r="F40" i="7" s="1"/>
  <c r="H7" i="7" s="1"/>
  <c r="H40" i="7" s="1"/>
  <c r="J7" i="7" s="1"/>
  <c r="J40" i="7" s="1"/>
  <c r="L7" i="7" s="1"/>
  <c r="L40" i="7" s="1"/>
  <c r="N7" i="7" s="1"/>
  <c r="N40" i="7" s="1"/>
  <c r="P7" i="7" s="1"/>
  <c r="P40" i="7" s="1"/>
  <c r="R7" i="7" s="1"/>
  <c r="R40" i="7" s="1"/>
  <c r="T7" i="7" s="1"/>
  <c r="T40" i="7" s="1"/>
  <c r="V7" i="7" s="1"/>
  <c r="V40" i="7" s="1"/>
  <c r="X7" i="7" s="1"/>
  <c r="X40" i="7" s="1"/>
  <c r="AA15" i="10"/>
  <c r="AB10" i="10"/>
  <c r="AA78" i="10"/>
  <c r="AD17" i="10"/>
  <c r="AC12" i="10"/>
  <c r="AD12" i="10" s="1"/>
  <c r="AC14" i="10"/>
  <c r="AD14" i="10" s="1"/>
  <c r="G11" i="47" l="1"/>
  <c r="H8" i="47"/>
  <c r="E11" i="47"/>
  <c r="D13" i="47"/>
  <c r="AA79" i="10"/>
  <c r="AA80" i="10" s="1"/>
  <c r="AB15" i="10"/>
  <c r="AA30" i="10"/>
  <c r="D10" i="10"/>
  <c r="AC13" i="10"/>
  <c r="AD13" i="10" s="1"/>
  <c r="AC11" i="10"/>
  <c r="AD55" i="10"/>
  <c r="AD20" i="10"/>
  <c r="AD26" i="10"/>
  <c r="AD43" i="10"/>
  <c r="AD23" i="10"/>
  <c r="AD58" i="10"/>
  <c r="AD33" i="10"/>
  <c r="AD51" i="10"/>
  <c r="AD29" i="10"/>
  <c r="AD38" i="10"/>
  <c r="AD48" i="10"/>
  <c r="AD16" i="10"/>
  <c r="AD44" i="10"/>
  <c r="AD54" i="10"/>
  <c r="AD41" i="10"/>
  <c r="AD28" i="10"/>
  <c r="AD24" i="10"/>
  <c r="AD22" i="10"/>
  <c r="AD37" i="10"/>
  <c r="AD45" i="10"/>
  <c r="AD53" i="10"/>
  <c r="AD49" i="10"/>
  <c r="AD27" i="10"/>
  <c r="AD19" i="10"/>
  <c r="AD32" i="10"/>
  <c r="AD36" i="10"/>
  <c r="AD50" i="10"/>
  <c r="AD25" i="10"/>
  <c r="AD9" i="10"/>
  <c r="AD62" i="10"/>
  <c r="AD61" i="10"/>
  <c r="AD46" i="10"/>
  <c r="AD59" i="10"/>
  <c r="AD60" i="10"/>
  <c r="AD18" i="10"/>
  <c r="AD31" i="10"/>
  <c r="AD21" i="10"/>
  <c r="AD63" i="10"/>
  <c r="AD39" i="10"/>
  <c r="AD52" i="10"/>
  <c r="AD47" i="10"/>
  <c r="AD56" i="10"/>
  <c r="AD57" i="10"/>
  <c r="AD42" i="10"/>
  <c r="AD40" i="10"/>
  <c r="AD35" i="10"/>
  <c r="H11" i="47" l="1"/>
  <c r="G13" i="47"/>
  <c r="E13" i="47"/>
  <c r="D18" i="47"/>
  <c r="AA34" i="10"/>
  <c r="AB30" i="10"/>
  <c r="AD11" i="10"/>
  <c r="AC10" i="10"/>
  <c r="D15" i="10"/>
  <c r="D30" i="10" s="1"/>
  <c r="D34" i="10" s="1"/>
  <c r="D64" i="10" s="1"/>
  <c r="D65" i="10" s="1"/>
  <c r="G18" i="47" l="1"/>
  <c r="H18" i="47" s="1"/>
  <c r="H13" i="47"/>
  <c r="AB34" i="10"/>
  <c r="AA64" i="10"/>
  <c r="D19" i="47" s="1"/>
  <c r="AC15" i="10"/>
  <c r="AD15" i="10" s="1"/>
  <c r="AD10" i="10"/>
  <c r="AE64" i="10" l="1"/>
  <c r="AB64" i="10"/>
  <c r="AA65" i="10"/>
  <c r="AC30" i="10"/>
  <c r="AD30" i="10" s="1"/>
  <c r="AC34" i="10" l="1"/>
  <c r="AD34" i="10" s="1"/>
  <c r="AC64" i="10" l="1"/>
  <c r="AD64" i="10" s="1"/>
  <c r="AC65" i="10" l="1"/>
  <c r="B23" i="43"/>
</calcChain>
</file>

<file path=xl/comments1.xml><?xml version="1.0" encoding="utf-8"?>
<comments xmlns="http://schemas.openxmlformats.org/spreadsheetml/2006/main">
  <authors>
    <author>user</author>
  </authors>
  <commentList>
    <comment ref="I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Inserir Custo do Produto
</t>
        </r>
      </text>
    </comment>
    <comment ref="J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Inserir Custo do Produto
</t>
        </r>
      </text>
    </comment>
  </commentList>
</comments>
</file>

<file path=xl/comments2.xml><?xml version="1.0" encoding="utf-8"?>
<comments xmlns="http://schemas.openxmlformats.org/spreadsheetml/2006/main">
  <authors>
    <author>Otto Guilherme Bahr</author>
  </authors>
  <commentList>
    <comment ref="B11" authorId="0" shapeId="0">
      <text>
        <r>
          <rPr>
            <sz val="12"/>
            <color indexed="81"/>
            <rFont val="Tahoma"/>
            <family val="2"/>
          </rPr>
          <t>Este percentual varia de acordo com o grau de risco da empresa.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1" authorId="0" shapeId="0">
      <text>
        <r>
          <rPr>
            <sz val="12"/>
            <color indexed="81"/>
            <rFont val="Tahoma"/>
            <family val="2"/>
          </rPr>
          <t>Este percentual varia de acordo com o grau de risco da empresa.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1" authorId="0" shapeId="0">
      <text>
        <r>
          <rPr>
            <sz val="12"/>
            <color indexed="81"/>
            <rFont val="Tahoma"/>
            <family val="2"/>
          </rPr>
          <t>Este percentual varia de acordo com o grau de risco da empresa.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<sst xmlns="http://schemas.openxmlformats.org/spreadsheetml/2006/main" count="628" uniqueCount="355">
  <si>
    <t xml:space="preserve"> </t>
  </si>
  <si>
    <t>Entra21 2026</t>
  </si>
  <si>
    <t>Parametrização</t>
  </si>
  <si>
    <t>Markup</t>
  </si>
  <si>
    <t>DRE - PREVISTO</t>
  </si>
  <si>
    <t>Análise do Preço de Compras</t>
  </si>
  <si>
    <t>Simulador de Preços de Venda</t>
  </si>
  <si>
    <t xml:space="preserve">Fluxo de Caixa Mensal </t>
  </si>
  <si>
    <t>Encargos Sociais Trabalhistas</t>
  </si>
  <si>
    <t>Distribuição do Recebimento</t>
  </si>
  <si>
    <t>Ficha Técnica</t>
  </si>
  <si>
    <t>SIMPLES</t>
  </si>
  <si>
    <t>TABELA DO MEI - 2026</t>
  </si>
  <si>
    <t>Ponto de Equilibrio</t>
  </si>
  <si>
    <t>Movimento de Caixa</t>
  </si>
  <si>
    <t>Quantidades</t>
  </si>
  <si>
    <t>%</t>
  </si>
  <si>
    <t>Preço Médio Unitário - R$</t>
  </si>
  <si>
    <t>Faturamento (Qtde. x Preço Médio)</t>
  </si>
  <si>
    <t>(-) Impostos sobre Vendas</t>
  </si>
  <si>
    <t>(=) Receita Líquida (Faturamento - Imposto)</t>
  </si>
  <si>
    <t>(-) Custo das Mercadorias/Produto</t>
  </si>
  <si>
    <t>(-) Custo da Mão de Obra Direta</t>
  </si>
  <si>
    <t>(=) Lucro Bruto (Receita Líquida - Custos)</t>
  </si>
  <si>
    <t>(-) Comissão/Frete (Gastos variáveis)</t>
  </si>
  <si>
    <t>(=) Margem de Contribuição (Lucro Bruto - Gastos Variáveis)</t>
  </si>
  <si>
    <t>(-) Despesas Administrativas (Fixas)</t>
  </si>
  <si>
    <t>(-) Custos Indiretos de Fabricação (Fixo)</t>
  </si>
  <si>
    <t>(-) Despesas Comerciais (Fixas)</t>
  </si>
  <si>
    <t>(-) Despesas Financeiras (Fixas)</t>
  </si>
  <si>
    <t>(=) Resultado Líquido</t>
  </si>
  <si>
    <t xml:space="preserve">Valor </t>
  </si>
  <si>
    <t>MOVIMENTO DE CAIXA</t>
  </si>
  <si>
    <t>PERÍODO</t>
  </si>
  <si>
    <t>HISTÓRICO</t>
  </si>
  <si>
    <t>ENTRADAS</t>
  </si>
  <si>
    <t>SAÍDAS</t>
  </si>
  <si>
    <t>SALDO</t>
  </si>
  <si>
    <t>TOTAL</t>
  </si>
  <si>
    <t>Saldo Inicial</t>
  </si>
  <si>
    <t>Total de Entradas</t>
  </si>
  <si>
    <t>Total de Saídas</t>
  </si>
  <si>
    <t>Saldo Final</t>
  </si>
  <si>
    <t>SIMULADOR DE PREÇOS</t>
  </si>
  <si>
    <t>Referencia</t>
  </si>
  <si>
    <t>DESCRIÇÃO DO PRODUTO</t>
  </si>
  <si>
    <t>Bolsa</t>
  </si>
  <si>
    <t>CUSTO DO PRODUTO (R$)</t>
  </si>
  <si>
    <t>Preço Calculado</t>
  </si>
  <si>
    <t>Preço de Mercado</t>
  </si>
  <si>
    <t>Condições de Pagamento</t>
  </si>
  <si>
    <t>R$</t>
  </si>
  <si>
    <t>Prazo</t>
  </si>
  <si>
    <t>À Vista</t>
  </si>
  <si>
    <t>Dias</t>
  </si>
  <si>
    <t>À Vista (1)</t>
  </si>
  <si>
    <t>Lucro</t>
  </si>
  <si>
    <t xml:space="preserve">Taxa Financeira </t>
  </si>
  <si>
    <t>a.m.</t>
  </si>
  <si>
    <t>PREÇO BRUTO</t>
  </si>
  <si>
    <t>Imperfeitos</t>
  </si>
  <si>
    <t>Bonificação</t>
  </si>
  <si>
    <t>PREÇO LIQUIDO DE VENDA</t>
  </si>
  <si>
    <t>Despesas Variáveis de Venda</t>
  </si>
  <si>
    <t>Impostos</t>
  </si>
  <si>
    <t>ICMS</t>
  </si>
  <si>
    <t>PIS</t>
  </si>
  <si>
    <t>COFINS</t>
  </si>
  <si>
    <t>Simples</t>
  </si>
  <si>
    <t>PREÇO LÍQUIDO</t>
  </si>
  <si>
    <t>Despesas Comerciais Variáveis</t>
  </si>
  <si>
    <t xml:space="preserve">CUSTO DO PRODUTO </t>
  </si>
  <si>
    <t>Cartão de Crédito</t>
  </si>
  <si>
    <t>Frete</t>
  </si>
  <si>
    <t>MARGEM BRUTA</t>
  </si>
  <si>
    <t>Comissão</t>
  </si>
  <si>
    <t>Desps Com Variáveis</t>
  </si>
  <si>
    <t>Prov. Dev Duv</t>
  </si>
  <si>
    <t>Royalties</t>
  </si>
  <si>
    <t>Outras Despesas</t>
  </si>
  <si>
    <t>Despesa Fixa</t>
  </si>
  <si>
    <t>MARGEM OPERACIONAL</t>
  </si>
  <si>
    <t>MARGEM LIQUIDA</t>
  </si>
  <si>
    <t>DESPESA FINANCEIRA</t>
  </si>
  <si>
    <t>Despesa Financeira</t>
  </si>
  <si>
    <t>LUCRO LÍQUIDO</t>
  </si>
  <si>
    <t>FORMAÇÃO DO MARK-UP</t>
  </si>
  <si>
    <t>MARK-UP</t>
  </si>
  <si>
    <t>REFERENCIAS</t>
  </si>
  <si>
    <t>Cosmetico</t>
  </si>
  <si>
    <t>Acessorios</t>
  </si>
  <si>
    <t>Bolsas</t>
  </si>
  <si>
    <t>Promocional</t>
  </si>
  <si>
    <t>Outros</t>
  </si>
  <si>
    <t>Taxa Financeira</t>
  </si>
  <si>
    <t>Prazo de Médio de Venda</t>
  </si>
  <si>
    <t>Prov. P/Dev. Duvidosos</t>
  </si>
  <si>
    <t>IPI</t>
  </si>
  <si>
    <t>EPP/SIMPLES</t>
  </si>
  <si>
    <t>ISS</t>
  </si>
  <si>
    <t>1) OBRIGAÇÕES PREVIDÊNCIARIAS</t>
  </si>
  <si>
    <t>MEI</t>
  </si>
  <si>
    <t>EPP</t>
  </si>
  <si>
    <t>COMÉRCIO</t>
  </si>
  <si>
    <t>INDÚSTRIA</t>
  </si>
  <si>
    <t>SOCIOS</t>
  </si>
  <si>
    <t>INSS</t>
  </si>
  <si>
    <t>SESC</t>
  </si>
  <si>
    <t>SENAC</t>
  </si>
  <si>
    <t>SENAI</t>
  </si>
  <si>
    <t>SESI</t>
  </si>
  <si>
    <t>INCRA</t>
  </si>
  <si>
    <t>SEBRAE</t>
  </si>
  <si>
    <t>SALÁRIO EDUCAÇÃO</t>
  </si>
  <si>
    <t>SAT SEGURO ACIDENTES TRABALHO</t>
  </si>
  <si>
    <t>SUB-TOTAL</t>
  </si>
  <si>
    <t>2)  13 SALÁRIO</t>
  </si>
  <si>
    <t>13º SALÁRIO</t>
  </si>
  <si>
    <t>3)  FÉRIAS</t>
  </si>
  <si>
    <t>FÉRIAS</t>
  </si>
  <si>
    <t>ADICIONAL DE FÉRIAS (33%)</t>
  </si>
  <si>
    <t>4)  FGTS</t>
  </si>
  <si>
    <t>FGTS</t>
  </si>
  <si>
    <t>5) REINCIDENCIAS INSS</t>
  </si>
  <si>
    <t>S/13 º SALARIO</t>
  </si>
  <si>
    <t>S/ FÉRIAS</t>
  </si>
  <si>
    <t>6) REINCIDENCIAS FGTS</t>
  </si>
  <si>
    <t>S/13º SALARIO</t>
  </si>
  <si>
    <t>S/FÉRIAS</t>
  </si>
  <si>
    <t>RECISÕES TRABALHISTAS</t>
  </si>
  <si>
    <t>PERICULOSIDADE</t>
  </si>
  <si>
    <t xml:space="preserve">BENEFICIOS - Encargos Assistenciais </t>
  </si>
  <si>
    <t>Forma Jurídica da empresa</t>
  </si>
  <si>
    <t>1 -MEI</t>
  </si>
  <si>
    <t>2 - EPP</t>
  </si>
  <si>
    <t>3 - Simples</t>
  </si>
  <si>
    <t>4 - Comércio</t>
  </si>
  <si>
    <t>5 - Indústria</t>
  </si>
  <si>
    <t>4 - Sócios</t>
  </si>
  <si>
    <t>TABELA PARA MEI - 2026 Em R$</t>
  </si>
  <si>
    <t>Atividade MEI</t>
  </si>
  <si>
    <t>ICMS/ISS</t>
  </si>
  <si>
    <t>Valor mensal do DAS</t>
  </si>
  <si>
    <t>Comércio e Indústria – ICMS</t>
  </si>
  <si>
    <t>Serviços – ISS</t>
  </si>
  <si>
    <t>Comércio e Serviços – ICMS e ISS</t>
  </si>
  <si>
    <t>LEI COMPLEMENTAR Nº 155, DE 27 DE OUTUBRO DE 2016</t>
  </si>
  <si>
    <t>Alíquotas e Partilha do Simples Nacional – Comércio </t>
  </si>
  <si>
    <t>Receita Bruta em 12 Meses (em R$)</t>
  </si>
  <si>
    <t>Alíquota</t>
  </si>
  <si>
    <t>Valor a Deduzir (em R$)</t>
  </si>
  <si>
    <r>
      <t>1</t>
    </r>
    <r>
      <rPr>
        <u/>
        <vertAlign val="superscript"/>
        <sz val="10"/>
        <color indexed="8"/>
        <rFont val="Arial"/>
        <family val="2"/>
      </rPr>
      <t>a</t>
    </r>
    <r>
      <rPr>
        <sz val="10"/>
        <color indexed="8"/>
        <rFont val="Arial"/>
        <family val="2"/>
      </rPr>
      <t xml:space="preserve"> Faixa</t>
    </r>
  </si>
  <si>
    <t>Até 180.000,00</t>
  </si>
  <si>
    <r>
      <t>2</t>
    </r>
    <r>
      <rPr>
        <u/>
        <vertAlign val="superscript"/>
        <sz val="10"/>
        <color indexed="8"/>
        <rFont val="Arial"/>
        <family val="2"/>
      </rPr>
      <t>a</t>
    </r>
    <r>
      <rPr>
        <sz val="10"/>
        <color indexed="8"/>
        <rFont val="Arial"/>
        <family val="2"/>
      </rPr>
      <t xml:space="preserve"> Faixa</t>
    </r>
  </si>
  <si>
    <t>De 180.000,01 a 360.000,00</t>
  </si>
  <si>
    <t>Faturamento</t>
  </si>
  <si>
    <t>% Simples</t>
  </si>
  <si>
    <t>Imposto</t>
  </si>
  <si>
    <t>Vlr a Deduzir</t>
  </si>
  <si>
    <t>Imposto a pagar</t>
  </si>
  <si>
    <r>
      <t>3</t>
    </r>
    <r>
      <rPr>
        <u/>
        <vertAlign val="superscript"/>
        <sz val="10"/>
        <color indexed="8"/>
        <rFont val="Arial"/>
        <family val="2"/>
      </rPr>
      <t>a</t>
    </r>
    <r>
      <rPr>
        <sz val="10"/>
        <color indexed="8"/>
        <rFont val="Arial"/>
        <family val="2"/>
      </rPr>
      <t xml:space="preserve"> Faixa</t>
    </r>
  </si>
  <si>
    <t>De 360.000,01 a 720.000,00</t>
  </si>
  <si>
    <r>
      <t>4</t>
    </r>
    <r>
      <rPr>
        <u/>
        <vertAlign val="superscript"/>
        <sz val="10"/>
        <color indexed="8"/>
        <rFont val="Arial"/>
        <family val="2"/>
      </rPr>
      <t>a</t>
    </r>
    <r>
      <rPr>
        <sz val="10"/>
        <color indexed="8"/>
        <rFont val="Arial"/>
        <family val="2"/>
      </rPr>
      <t xml:space="preserve"> Faixa</t>
    </r>
  </si>
  <si>
    <t>De 720.000,01 a 1.800.000,00</t>
  </si>
  <si>
    <r>
      <t>5</t>
    </r>
    <r>
      <rPr>
        <u/>
        <vertAlign val="superscript"/>
        <sz val="10"/>
        <color indexed="8"/>
        <rFont val="Arial"/>
        <family val="2"/>
      </rPr>
      <t>a</t>
    </r>
    <r>
      <rPr>
        <sz val="10"/>
        <color indexed="8"/>
        <rFont val="Arial"/>
        <family val="2"/>
      </rPr>
      <t xml:space="preserve"> Faixa</t>
    </r>
  </si>
  <si>
    <t>De 1.800.000,01 a 3.600.000,00</t>
  </si>
  <si>
    <r>
      <t>6</t>
    </r>
    <r>
      <rPr>
        <u/>
        <vertAlign val="superscript"/>
        <sz val="10"/>
        <color indexed="8"/>
        <rFont val="Arial"/>
        <family val="2"/>
      </rPr>
      <t>a</t>
    </r>
    <r>
      <rPr>
        <sz val="10"/>
        <color indexed="8"/>
        <rFont val="Arial"/>
        <family val="2"/>
      </rPr>
      <t xml:space="preserve"> Faixa</t>
    </r>
  </si>
  <si>
    <t>De 3.600.000,01 a 4.800.000,00</t>
  </si>
  <si>
    <t>Alíquotas e Partilha do Simples Nacional – Indústria </t>
  </si>
  <si>
    <t>-</t>
  </si>
  <si>
    <r>
      <t>Alíquotas e Partilha do Simples Nacional - Receitas de locação de bens móveis e de prestação de serviços não relacionados no § 5</t>
    </r>
    <r>
      <rPr>
        <u/>
        <vertAlign val="superscript"/>
        <sz val="10"/>
        <color indexed="8"/>
        <rFont val="Arial"/>
        <family val="2"/>
      </rPr>
      <t>o</t>
    </r>
    <r>
      <rPr>
        <sz val="10"/>
        <color indexed="8"/>
        <rFont val="Arial"/>
        <family val="2"/>
      </rPr>
      <t>-C do art. 18 desta Lei Complementar </t>
    </r>
  </si>
  <si>
    <t>–</t>
  </si>
  <si>
    <r>
      <t>Alíquotas e Partilha do Simples Nacional – Receitas decorrentes da prestação de serviços relacionados no § 5</t>
    </r>
    <r>
      <rPr>
        <u/>
        <vertAlign val="superscript"/>
        <sz val="10"/>
        <color indexed="8"/>
        <rFont val="Arial"/>
        <family val="2"/>
      </rPr>
      <t>o</t>
    </r>
    <r>
      <rPr>
        <sz val="10"/>
        <color indexed="8"/>
        <rFont val="Arial"/>
        <family val="2"/>
      </rPr>
      <t>-C do art. 18 desta Lei Complementar </t>
    </r>
  </si>
  <si>
    <r>
      <t>Alíquotas e Partilha do Simples Nacional - Receitas decorrentes da prestação de serviços relacionados no § 5</t>
    </r>
    <r>
      <rPr>
        <u/>
        <vertAlign val="superscript"/>
        <sz val="10"/>
        <color indexed="8"/>
        <rFont val="Arial"/>
        <family val="2"/>
      </rPr>
      <t>o</t>
    </r>
    <r>
      <rPr>
        <sz val="10"/>
        <color indexed="8"/>
        <rFont val="Arial"/>
        <family val="2"/>
      </rPr>
      <t>-I do art. 18 desta Lei Complementar </t>
    </r>
  </si>
  <si>
    <t>DISTRIBUIÇÃO DO RECEBIMENTO</t>
  </si>
  <si>
    <t>Prazos Recebim</t>
  </si>
  <si>
    <t>Prazo Médio</t>
  </si>
  <si>
    <t>A VISTA</t>
  </si>
  <si>
    <t>30 DIAS</t>
  </si>
  <si>
    <t>60 DIAS</t>
  </si>
  <si>
    <t>90 DIAS</t>
  </si>
  <si>
    <t>120 DIAS</t>
  </si>
  <si>
    <t>150 DIAs</t>
  </si>
  <si>
    <t>180 dias</t>
  </si>
  <si>
    <t xml:space="preserve">TOTAL </t>
  </si>
  <si>
    <t>DISTRIBUIÇÃO DE RECEBIMENTO - ORÇADO</t>
  </si>
  <si>
    <t>REC BRUTA</t>
  </si>
  <si>
    <t>PDD</t>
  </si>
  <si>
    <t>LÍQUIDO</t>
  </si>
  <si>
    <t>ANÁLISE DE COMPRAS</t>
  </si>
  <si>
    <t>Taxa de Captação</t>
  </si>
  <si>
    <t xml:space="preserve">CÓD. </t>
  </si>
  <si>
    <t>Descrição do Insumo</t>
  </si>
  <si>
    <t>Fornecedor</t>
  </si>
  <si>
    <t>Uunid. Medida</t>
  </si>
  <si>
    <t>Preço Bruto de Compra</t>
  </si>
  <si>
    <t>Prazo de Compra</t>
  </si>
  <si>
    <t>Prazo ICMS</t>
  </si>
  <si>
    <t>Prazo PIS</t>
  </si>
  <si>
    <t>Prazo COFINS</t>
  </si>
  <si>
    <t>Prazo IPI</t>
  </si>
  <si>
    <t>Prazo Frete</t>
  </si>
  <si>
    <t>Preço Líquido dos Materiais</t>
  </si>
  <si>
    <t>Preço de Venda Sugerido</t>
  </si>
  <si>
    <t>Preço Praticado</t>
  </si>
  <si>
    <t>xxxx</t>
  </si>
  <si>
    <t>ghghghg</t>
  </si>
  <si>
    <t>kg</t>
  </si>
  <si>
    <t>gagagaga</t>
  </si>
  <si>
    <t>m</t>
  </si>
  <si>
    <t>Referência do Produto</t>
  </si>
  <si>
    <t>Data</t>
  </si>
  <si>
    <t>Descrição do Produto</t>
  </si>
  <si>
    <t>Cód.</t>
  </si>
  <si>
    <t>Descrição</t>
  </si>
  <si>
    <t>Consumo</t>
  </si>
  <si>
    <t>Unid. Med.</t>
  </si>
  <si>
    <t>Preço Unit</t>
  </si>
  <si>
    <t xml:space="preserve">Custo </t>
  </si>
  <si>
    <t>Materiais</t>
  </si>
  <si>
    <t>Sub-total</t>
  </si>
  <si>
    <t>Mão de Obra</t>
  </si>
  <si>
    <t>min</t>
  </si>
  <si>
    <t>Custos Indiretos de Fabricação</t>
  </si>
  <si>
    <t>Custo Total do Produto</t>
  </si>
  <si>
    <t>Mark-up</t>
  </si>
  <si>
    <t>Preço de Venda</t>
  </si>
  <si>
    <t>FLUXO DE CAIXA MENSAL (R$)</t>
  </si>
  <si>
    <t>Exercício</t>
  </si>
  <si>
    <t>Fluxo de Caixa</t>
  </si>
  <si>
    <t>ANO</t>
  </si>
  <si>
    <t>P</t>
  </si>
  <si>
    <t>R</t>
  </si>
  <si>
    <t xml:space="preserve">SALDO INICIAL </t>
  </si>
  <si>
    <t>OPERACIONAL</t>
  </si>
  <si>
    <t>Recebimentos No Vencimento</t>
  </si>
  <si>
    <t>PAGAMENTOS OPERACIONAIS</t>
  </si>
  <si>
    <t>FORNECEDORES DE MATERIAIS (PROD)</t>
  </si>
  <si>
    <t xml:space="preserve">  CUSTOS INDIRETOS DE FABRICAÇÃO (CIF)</t>
  </si>
  <si>
    <t xml:space="preserve">  FOLHA DE PAGAMENTO</t>
  </si>
  <si>
    <t xml:space="preserve">  IMPOSTOS A PAGAR </t>
  </si>
  <si>
    <t xml:space="preserve">  DESPESAS COMERCIAIS VARIÁVEIS</t>
  </si>
  <si>
    <t xml:space="preserve">  ENCARGOS A PAGAR (INSS)</t>
  </si>
  <si>
    <t xml:space="preserve">  ENCARGOS A PAGAR </t>
  </si>
  <si>
    <t xml:space="preserve">  DESPESAS COMERCIAIS</t>
  </si>
  <si>
    <t xml:space="preserve">  DESPESAS ADMINISTRATIVAS</t>
  </si>
  <si>
    <t>FLUXO DE CAIXA OPERACIONAL</t>
  </si>
  <si>
    <t>INVESTIMENTOS</t>
  </si>
  <si>
    <t xml:space="preserve">  Venda de Ativos</t>
  </si>
  <si>
    <t xml:space="preserve">  Investimentos - DIVERSOS</t>
  </si>
  <si>
    <t xml:space="preserve">  Investimentos - IMOBILIZADO</t>
  </si>
  <si>
    <t xml:space="preserve">  Aporte de Capital</t>
  </si>
  <si>
    <t xml:space="preserve">  Particular</t>
  </si>
  <si>
    <t xml:space="preserve">  Pagamento de Dividendos/Lucros</t>
  </si>
  <si>
    <t>FLUXO DE CAIXA INVESTIMENTOS</t>
  </si>
  <si>
    <t>FINANCEIRO</t>
  </si>
  <si>
    <t xml:space="preserve">  Captação de Recursos</t>
  </si>
  <si>
    <t xml:space="preserve">  Despesas Financeiras (Juros Bancários)</t>
  </si>
  <si>
    <t xml:space="preserve">  Resgate de Captação</t>
  </si>
  <si>
    <t xml:space="preserve">  Aplicações Financeiras</t>
  </si>
  <si>
    <t xml:space="preserve">  Amortização Empréstimo - Carros</t>
  </si>
  <si>
    <t xml:space="preserve">  Amortizações de Empréstimos Impostos</t>
  </si>
  <si>
    <t xml:space="preserve">  Amortizações de Empréstimos - Bancário</t>
  </si>
  <si>
    <t>FLUXO DE CAIXA FINANCEIRO</t>
  </si>
  <si>
    <t>SALDO FINAL</t>
  </si>
  <si>
    <t>DRE - DEMONSTRATIVO DE RESULTADOS DO EXERCÍCIO (R$)</t>
  </si>
  <si>
    <t>DESCRIÇÃO</t>
  </si>
  <si>
    <t>TOTAL DO ANO</t>
  </si>
  <si>
    <t xml:space="preserve">Quantidade </t>
  </si>
  <si>
    <t>Preço Médio</t>
  </si>
  <si>
    <t>RECEITA BRUTA</t>
  </si>
  <si>
    <t>(-) Deduções de Vendas</t>
  </si>
  <si>
    <t>(=) RECEITA LIQUIDA</t>
  </si>
  <si>
    <t>(-) CUSTO DA MERCADORIA VENDIDA</t>
  </si>
  <si>
    <t>(-) CUSTO DIRETO</t>
  </si>
  <si>
    <t>Mercadorias</t>
  </si>
  <si>
    <t>(-) CUSTO INDIRETO DE FABRICAÇÃO</t>
  </si>
  <si>
    <t>(=) LUCRO BRUTO</t>
  </si>
  <si>
    <t>(-) DESPESAS VARIÁVEIS</t>
  </si>
  <si>
    <t>(=)MARGEM OPERACIONAL</t>
  </si>
  <si>
    <t>(-) DESPESAS OPERACIONAIS</t>
  </si>
  <si>
    <t>(-) ADMINISTRATIVAS</t>
  </si>
  <si>
    <t>Despesas administrativas</t>
  </si>
  <si>
    <t>(=) RESULTADO LÍQUIDO</t>
  </si>
  <si>
    <t>Ponto de Equilibrio Econômico</t>
  </si>
  <si>
    <t>% Lucro</t>
  </si>
  <si>
    <t>Em Quantidades</t>
  </si>
  <si>
    <t>FATURAMENTO</t>
  </si>
  <si>
    <t>Custo Fixo</t>
  </si>
  <si>
    <t>Despesas Financeiras</t>
  </si>
  <si>
    <t>Margem de Contribuição</t>
  </si>
  <si>
    <t>Parametrizações</t>
  </si>
  <si>
    <t>CLASSIFICAÇÃO</t>
  </si>
  <si>
    <t>NATUREZAS DE GASTOS</t>
  </si>
  <si>
    <t>MEIOS DE RECEB/PGTO</t>
  </si>
  <si>
    <t>Status</t>
  </si>
  <si>
    <t>Meses</t>
  </si>
  <si>
    <t>FIX</t>
  </si>
  <si>
    <t>Ordenados e Salários</t>
  </si>
  <si>
    <t>Fornecedores</t>
  </si>
  <si>
    <t>Dinheiro</t>
  </si>
  <si>
    <t>Pago</t>
  </si>
  <si>
    <t>VAR</t>
  </si>
  <si>
    <t>Salários Diretos</t>
  </si>
  <si>
    <t>CIF</t>
  </si>
  <si>
    <t xml:space="preserve">Cartão </t>
  </si>
  <si>
    <t>A Pagar</t>
  </si>
  <si>
    <t>Salários Indiretos</t>
  </si>
  <si>
    <t>Folha</t>
  </si>
  <si>
    <t>Boleto</t>
  </si>
  <si>
    <t>Adiantamento de Salário</t>
  </si>
  <si>
    <t>Outros Meios</t>
  </si>
  <si>
    <t>Recebido</t>
  </si>
  <si>
    <t>Horas Extras</t>
  </si>
  <si>
    <t>A Receber</t>
  </si>
  <si>
    <t>Férias</t>
  </si>
  <si>
    <t>13o. Salário</t>
  </si>
  <si>
    <t>Recisões</t>
  </si>
  <si>
    <t>ADMINISTRATIVA</t>
  </si>
  <si>
    <t>Pró-labore</t>
  </si>
  <si>
    <t>FINANCEIRA</t>
  </si>
  <si>
    <t>Taxa MEI</t>
  </si>
  <si>
    <t>IMOBILIZADO</t>
  </si>
  <si>
    <t>PARTICULAR</t>
  </si>
  <si>
    <t>COMERCIAL</t>
  </si>
  <si>
    <t>Vale Alimentação</t>
  </si>
  <si>
    <t>Alvara</t>
  </si>
  <si>
    <t>Água</t>
  </si>
  <si>
    <t>Aluguel</t>
  </si>
  <si>
    <t>Medicina Ocupacional</t>
  </si>
  <si>
    <t>Manutenção de Veículos</t>
  </si>
  <si>
    <t>Combustível</t>
  </si>
  <si>
    <t>Material de Uso e Consumo</t>
  </si>
  <si>
    <t>IPTU</t>
  </si>
  <si>
    <t>Internet</t>
  </si>
  <si>
    <t>Contabilidade</t>
  </si>
  <si>
    <t>Despesas de Informática</t>
  </si>
  <si>
    <t>Serviços de Terceiros</t>
  </si>
  <si>
    <t>Mensalidades</t>
  </si>
  <si>
    <t>Energia Elétrica</t>
  </si>
  <si>
    <t>Manutenção de Máquinas e Equipamentos</t>
  </si>
  <si>
    <t>Manutenção de Materiais Diversos</t>
  </si>
  <si>
    <t>Manutenção e Conservação</t>
  </si>
  <si>
    <t>Manutenção Elétrica</t>
  </si>
  <si>
    <t>Terceirização Interna</t>
  </si>
  <si>
    <t>Seguros</t>
  </si>
  <si>
    <t>Material de Escritório</t>
  </si>
  <si>
    <t>Material de Limpeza</t>
  </si>
  <si>
    <t>Instagram</t>
  </si>
  <si>
    <t>INV</t>
  </si>
  <si>
    <t>Imobilizado</t>
  </si>
  <si>
    <t>Particular</t>
  </si>
  <si>
    <t>Investimentos</t>
  </si>
  <si>
    <t xml:space="preserve">Encargos Sociais 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</si>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</sst>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7" formatCode="&quot;R$&quot;\ #,##0.00;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_);_(* \(#,##0\);_(* &quot;-&quot;??_);_(@_)"/>
    <numFmt numFmtId="165" formatCode="0.0%"/>
    <numFmt numFmtId="166" formatCode="dd/mm/yy"/>
    <numFmt numFmtId="167" formatCode="_(* #,##0.00_);_(* \(#,##0.00\);_(* &quot;-&quot;??_);_(@_)"/>
    <numFmt numFmtId="168" formatCode="_-* #,##0_-;\-* #,##0_-;_-* &quot;-&quot;??_-;_-@"/>
    <numFmt numFmtId="169" formatCode="#,##0_ ;[Red]\-#,##0\ "/>
    <numFmt numFmtId="170" formatCode="0_);\(0\)"/>
    <numFmt numFmtId="171" formatCode="_(* #,##0.0000_);_(* \(#,##0.0000\);_(* &quot;-&quot;??_);_(@_)"/>
    <numFmt numFmtId="172" formatCode="&quot;R$&quot;\ #,##0.00"/>
    <numFmt numFmtId="173" formatCode="_-* #,##0_-;\-* #,##0_-;_-* &quot;-&quot;??_-;_-@_-"/>
    <numFmt numFmtId="174" formatCode="0.0000"/>
    <numFmt numFmtId="175" formatCode="&quot;R$&quot;#,##0.00"/>
    <numFmt numFmtId="176" formatCode="_(* #,##0.000_);_(* \(#,##0.000\);_(* &quot;-&quot;??_);_(@_)"/>
    <numFmt numFmtId="177" formatCode="_-* #,##0.0000_-;\-* #,##0.0000_-;_-* &quot;-&quot;??_-;_-@_-"/>
    <numFmt numFmtId="178" formatCode="_-* #,##0.00_-;\-* #,##0.00_-;_-* &quot;-&quot;??_-;_-@"/>
    <numFmt numFmtId="179" formatCode="0.0000%"/>
  </numFmts>
  <fonts count="10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4"/>
      <color theme="1"/>
      <name val="Calibri"/>
      <family val="2"/>
    </font>
    <font>
      <b/>
      <sz val="16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20"/>
      <color theme="1"/>
      <name val="Calibri"/>
      <family val="2"/>
    </font>
    <font>
      <b/>
      <sz val="12"/>
      <color theme="1"/>
      <name val="Calibri"/>
      <family val="2"/>
    </font>
    <font>
      <b/>
      <sz val="16"/>
      <color theme="1"/>
      <name val="Calibri"/>
      <family val="2"/>
    </font>
    <font>
      <b/>
      <sz val="9"/>
      <color theme="1"/>
      <name val="Calibri"/>
      <family val="2"/>
    </font>
    <font>
      <sz val="20"/>
      <color theme="1"/>
      <name val="Calibri"/>
      <family val="2"/>
    </font>
    <font>
      <b/>
      <sz val="11"/>
      <color theme="0"/>
      <name val="Calibri"/>
      <family val="2"/>
    </font>
    <font>
      <b/>
      <sz val="9"/>
      <color theme="0"/>
      <name val="Calibri"/>
      <family val="2"/>
    </font>
    <font>
      <b/>
      <sz val="9"/>
      <color rgb="FFFF0000"/>
      <name val="Calibri"/>
      <family val="2"/>
    </font>
    <font>
      <sz val="9"/>
      <color theme="1"/>
      <name val="Calibri"/>
      <family val="2"/>
    </font>
    <font>
      <sz val="9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4"/>
      <color theme="0"/>
      <name val="Arial"/>
      <family val="2"/>
    </font>
    <font>
      <sz val="8"/>
      <color theme="0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b/>
      <sz val="8"/>
      <color theme="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name val="Arial"/>
      <family val="2"/>
    </font>
    <font>
      <b/>
      <sz val="14"/>
      <color indexed="10"/>
      <name val="Comic Sans MS"/>
      <family val="4"/>
    </font>
    <font>
      <b/>
      <sz val="10"/>
      <name val="Comic Sans MS"/>
      <family val="4"/>
    </font>
    <font>
      <b/>
      <sz val="9"/>
      <name val="Arial"/>
      <family val="2"/>
    </font>
    <font>
      <sz val="9"/>
      <name val="Comic Sans MS"/>
      <family val="4"/>
    </font>
    <font>
      <b/>
      <sz val="11"/>
      <color rgb="FFFF0000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rgb="FF000000"/>
      <name val="Arial"/>
      <family val="2"/>
    </font>
    <font>
      <u/>
      <vertAlign val="superscript"/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name val="Calibri"/>
      <family val="2"/>
      <scheme val="minor"/>
    </font>
    <font>
      <sz val="9"/>
      <color rgb="FFFF0000"/>
      <name val="Comic Sans MS"/>
      <family val="4"/>
    </font>
    <font>
      <b/>
      <sz val="18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2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indexed="12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9"/>
      <color indexed="81"/>
      <name val="Tahoma"/>
      <family val="2"/>
    </font>
    <font>
      <sz val="18"/>
      <color theme="1"/>
      <name val="Calibri"/>
      <family val="2"/>
      <scheme val="minor"/>
    </font>
    <font>
      <sz val="18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FFFF00"/>
      <name val="Calibri"/>
      <family val="2"/>
    </font>
    <font>
      <sz val="11"/>
      <color rgb="FFFFFF00"/>
      <name val="Calibri"/>
      <family val="2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2"/>
      <color rgb="FF003366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u val="singleAccounting"/>
      <sz val="12"/>
      <color theme="1"/>
      <name val="Calibri"/>
      <family val="2"/>
      <scheme val="minor"/>
    </font>
    <font>
      <sz val="11"/>
      <color theme="0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3"/>
      <name val="Calibri"/>
      <family val="2"/>
    </font>
    <font>
      <b/>
      <sz val="12"/>
      <color theme="3"/>
      <name val="Calibri"/>
      <family val="2"/>
      <scheme val="minor"/>
    </font>
    <font>
      <b/>
      <sz val="9"/>
      <color theme="3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60">
    <fill>
      <patternFill patternType="none"/>
    </fill>
    <fill>
      <patternFill patternType="gray125"/>
    </fill>
    <fill>
      <patternFill patternType="solid">
        <fgColor rgb="FFFBD4B4"/>
        <bgColor rgb="FFFBD4B4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rgb="FFA5A5A5"/>
        <bgColor rgb="FFA5A5A5"/>
      </patternFill>
    </fill>
    <fill>
      <patternFill patternType="solid">
        <fgColor rgb="FFDBE5F1"/>
        <bgColor rgb="FFDBE5F1"/>
      </patternFill>
    </fill>
    <fill>
      <patternFill patternType="solid">
        <fgColor rgb="FFDDD9C3"/>
        <bgColor rgb="FFDDD9C3"/>
      </patternFill>
    </fill>
    <fill>
      <patternFill patternType="solid">
        <fgColor rgb="FFDAEEF3"/>
        <bgColor rgb="FFDAEEF3"/>
      </patternFill>
    </fill>
    <fill>
      <patternFill patternType="solid">
        <fgColor rgb="FF95B3D7"/>
        <bgColor rgb="FF95B3D7"/>
      </patternFill>
    </fill>
    <fill>
      <patternFill patternType="solid">
        <fgColor rgb="FFB8CCE4"/>
        <bgColor rgb="FFB8CCE4"/>
      </patternFill>
    </fill>
    <fill>
      <patternFill patternType="solid">
        <fgColor rgb="FF0066CC"/>
        <bgColor rgb="FF0066CC"/>
      </patternFill>
    </fill>
    <fill>
      <patternFill patternType="solid">
        <fgColor theme="0"/>
        <bgColor indexed="64"/>
      </patternFill>
    </fill>
    <fill>
      <patternFill patternType="solid">
        <fgColor rgb="FFFFCC66"/>
        <bgColor rgb="FF974806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DBE5F1"/>
      </patternFill>
    </fill>
    <fill>
      <patternFill patternType="solid">
        <fgColor theme="0"/>
        <bgColor rgb="FFB8CCE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rgb="FF95B3D7"/>
      </patternFill>
    </fill>
    <fill>
      <patternFill patternType="solid">
        <fgColor theme="0"/>
        <bgColor rgb="FF95B3D7"/>
      </patternFill>
    </fill>
    <fill>
      <patternFill patternType="solid">
        <fgColor theme="4" tint="0.59999389629810485"/>
        <bgColor rgb="FFB8CCE4"/>
      </patternFill>
    </fill>
    <fill>
      <patternFill patternType="solid">
        <fgColor rgb="FFFFFFFF"/>
        <bgColor indexed="64"/>
      </patternFill>
    </fill>
    <fill>
      <patternFill patternType="solid">
        <fgColor theme="4" tint="-0.499984740745262"/>
        <bgColor theme="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rgb="FFFFC000"/>
      </patternFill>
    </fill>
    <fill>
      <patternFill patternType="solid">
        <fgColor theme="4" tint="0.59999389629810485"/>
        <bgColor rgb="FFDBE5F1"/>
      </patternFill>
    </fill>
    <fill>
      <patternFill patternType="solid">
        <fgColor rgb="FFFFFF00"/>
        <bgColor rgb="FFDBE5F1"/>
      </patternFill>
    </fill>
    <fill>
      <patternFill patternType="solid">
        <fgColor rgb="FFFFFF00"/>
        <bgColor rgb="FFA5A5A5"/>
      </patternFill>
    </fill>
    <fill>
      <patternFill patternType="solid">
        <fgColor theme="0" tint="-0.249977111117893"/>
        <bgColor rgb="FFDBE5F1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4" tint="0.79998168889431442"/>
        <bgColor rgb="FFDBE5F1"/>
      </patternFill>
    </fill>
    <fill>
      <patternFill patternType="solid">
        <fgColor theme="4" tint="0.59999389629810485"/>
        <bgColor rgb="FF548DD4"/>
      </patternFill>
    </fill>
    <fill>
      <patternFill patternType="solid">
        <fgColor rgb="FFFFFF99"/>
        <bgColor rgb="FF548DD4"/>
      </patternFill>
    </fill>
    <fill>
      <patternFill patternType="solid">
        <fgColor rgb="FFFFFF99"/>
        <bgColor rgb="FFFFC000"/>
      </patternFill>
    </fill>
    <fill>
      <patternFill patternType="solid">
        <fgColor rgb="FFFFFF99"/>
        <bgColor rgb="FFDBE5F1"/>
      </patternFill>
    </fill>
    <fill>
      <patternFill patternType="solid">
        <fgColor rgb="FFFFFF99"/>
        <bgColor rgb="FFB8CCE4"/>
      </patternFill>
    </fill>
    <fill>
      <patternFill patternType="solid">
        <fgColor theme="8" tint="0.79998168889431442"/>
        <bgColor rgb="FFDAEEF3"/>
      </patternFill>
    </fill>
    <fill>
      <patternFill patternType="solid">
        <fgColor theme="8" tint="0.79998168889431442"/>
        <bgColor rgb="FFDBE5F1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3366"/>
        <bgColor rgb="FF003366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rgb="FFDAEEF3"/>
      </patternFill>
    </fill>
  </fills>
  <borders count="127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/>
      <top style="hair">
        <color theme="0"/>
      </top>
      <bottom style="hair">
        <color theme="0"/>
      </bottom>
      <diagonal/>
    </border>
    <border>
      <left/>
      <right style="medium">
        <color theme="0"/>
      </right>
      <top style="hair">
        <color theme="0"/>
      </top>
      <bottom style="hair">
        <color theme="0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/>
      <top/>
      <bottom style="hair">
        <color rgb="FF000000"/>
      </bottom>
      <diagonal/>
    </border>
    <border>
      <left style="thin">
        <color theme="0"/>
      </left>
      <right style="thin">
        <color theme="0"/>
      </right>
      <top style="hair">
        <color theme="0"/>
      </top>
      <bottom style="hair">
        <color theme="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theme="1"/>
      </left>
      <right/>
      <top style="medium">
        <color theme="0"/>
      </top>
      <bottom style="hair">
        <color theme="0"/>
      </bottom>
      <diagonal/>
    </border>
    <border>
      <left/>
      <right style="hair">
        <color theme="1"/>
      </right>
      <top style="medium">
        <color theme="0"/>
      </top>
      <bottom style="hair">
        <color theme="0"/>
      </bottom>
      <diagonal/>
    </border>
    <border>
      <left style="hair">
        <color theme="1"/>
      </left>
      <right/>
      <top/>
      <bottom style="hair">
        <color theme="0"/>
      </bottom>
      <diagonal/>
    </border>
    <border>
      <left/>
      <right/>
      <top/>
      <bottom style="hair">
        <color theme="0"/>
      </bottom>
      <diagonal/>
    </border>
    <border>
      <left/>
      <right style="hair">
        <color theme="1"/>
      </right>
      <top/>
      <bottom style="hair">
        <color theme="0"/>
      </bottom>
      <diagonal/>
    </border>
    <border>
      <left/>
      <right/>
      <top/>
      <bottom/>
      <diagonal/>
    </border>
    <border>
      <left style="hair">
        <color theme="1"/>
      </left>
      <right style="hair">
        <color theme="1"/>
      </right>
      <top/>
      <bottom/>
      <diagonal/>
    </border>
    <border>
      <left/>
      <right/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0"/>
      </top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 style="hair">
        <color theme="0"/>
      </left>
      <right/>
      <top style="hair">
        <color theme="1"/>
      </top>
      <bottom style="hair">
        <color theme="1"/>
      </bottom>
      <diagonal/>
    </border>
    <border>
      <left style="hair">
        <color theme="0"/>
      </left>
      <right/>
      <top style="hair">
        <color theme="1"/>
      </top>
      <bottom style="hair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17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theme="0"/>
      </left>
      <right/>
      <top style="hair">
        <color indexed="64"/>
      </top>
      <bottom style="hair">
        <color theme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theme="0"/>
      </right>
      <top style="hair">
        <color theme="0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thin">
        <color indexed="64"/>
      </bottom>
      <diagonal/>
    </border>
    <border>
      <left style="hair">
        <color theme="0"/>
      </left>
      <right/>
      <top style="hair">
        <color theme="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hair">
        <color theme="1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hair">
        <color theme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hair">
        <color auto="1"/>
      </bottom>
      <diagonal/>
    </border>
    <border>
      <left style="thin">
        <color indexed="64"/>
      </left>
      <right style="thick">
        <color auto="1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hair">
        <color theme="1"/>
      </top>
      <bottom style="hair">
        <color theme="1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ck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n">
        <color indexed="64"/>
      </right>
      <top style="hair">
        <color auto="1"/>
      </top>
      <bottom/>
      <diagonal/>
    </border>
    <border>
      <left style="thick">
        <color indexed="64"/>
      </left>
      <right style="thick">
        <color indexed="64"/>
      </right>
      <top/>
      <bottom style="hair">
        <color auto="1"/>
      </bottom>
      <diagonal/>
    </border>
    <border>
      <left style="thick">
        <color indexed="64"/>
      </left>
      <right style="thick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17"/>
      </top>
      <bottom style="hair">
        <color indexed="17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17"/>
      </top>
      <bottom style="thin">
        <color indexed="64"/>
      </bottom>
      <diagonal/>
    </border>
  </borders>
  <cellStyleXfs count="5">
    <xf numFmtId="0" fontId="0" fillId="0" borderId="0"/>
    <xf numFmtId="0" fontId="28" fillId="0" borderId="0" applyNumberFormat="0" applyFill="0" applyBorder="0" applyAlignment="0" applyProtection="0"/>
    <xf numFmtId="9" fontId="31" fillId="0" borderId="0" applyFont="0" applyFill="0" applyBorder="0" applyAlignment="0" applyProtection="0"/>
    <xf numFmtId="43" fontId="34" fillId="0" borderId="0" applyFont="0" applyFill="0" applyBorder="0" applyAlignment="0" applyProtection="0"/>
    <xf numFmtId="44" fontId="80" fillId="0" borderId="0" applyFont="0" applyFill="0" applyBorder="0" applyAlignment="0" applyProtection="0"/>
  </cellStyleXfs>
  <cellXfs count="612">
    <xf numFmtId="0" fontId="0" fillId="0" borderId="0" xfId="0"/>
    <xf numFmtId="0" fontId="2" fillId="0" borderId="0" xfId="0" applyFont="1"/>
    <xf numFmtId="0" fontId="4" fillId="0" borderId="0" xfId="0" applyFont="1"/>
    <xf numFmtId="14" fontId="2" fillId="0" borderId="0" xfId="0" applyNumberFormat="1" applyFont="1"/>
    <xf numFmtId="0" fontId="12" fillId="0" borderId="0" xfId="0" applyFont="1" applyAlignment="1">
      <alignment vertical="center"/>
    </xf>
    <xf numFmtId="17" fontId="14" fillId="5" borderId="7" xfId="0" applyNumberFormat="1" applyFont="1" applyFill="1" applyBorder="1" applyAlignment="1">
      <alignment horizontal="center"/>
    </xf>
    <xf numFmtId="168" fontId="11" fillId="6" borderId="1" xfId="0" applyNumberFormat="1" applyFont="1" applyFill="1" applyBorder="1"/>
    <xf numFmtId="168" fontId="11" fillId="6" borderId="8" xfId="0" applyNumberFormat="1" applyFont="1" applyFill="1" applyBorder="1"/>
    <xf numFmtId="168" fontId="15" fillId="6" borderId="8" xfId="0" applyNumberFormat="1" applyFont="1" applyFill="1" applyBorder="1"/>
    <xf numFmtId="168" fontId="16" fillId="0" borderId="0" xfId="0" applyNumberFormat="1" applyFont="1"/>
    <xf numFmtId="168" fontId="11" fillId="4" borderId="1" xfId="0" applyNumberFormat="1" applyFont="1" applyFill="1" applyBorder="1"/>
    <xf numFmtId="168" fontId="11" fillId="4" borderId="8" xfId="0" applyNumberFormat="1" applyFont="1" applyFill="1" applyBorder="1"/>
    <xf numFmtId="168" fontId="15" fillId="4" borderId="8" xfId="0" applyNumberFormat="1" applyFont="1" applyFill="1" applyBorder="1"/>
    <xf numFmtId="168" fontId="15" fillId="6" borderId="1" xfId="0" applyNumberFormat="1" applyFont="1" applyFill="1" applyBorder="1"/>
    <xf numFmtId="168" fontId="16" fillId="3" borderId="1" xfId="0" applyNumberFormat="1" applyFont="1" applyFill="1" applyBorder="1"/>
    <xf numFmtId="168" fontId="16" fillId="7" borderId="8" xfId="0" applyNumberFormat="1" applyFont="1" applyFill="1" applyBorder="1"/>
    <xf numFmtId="168" fontId="17" fillId="3" borderId="8" xfId="0" applyNumberFormat="1" applyFont="1" applyFill="1" applyBorder="1"/>
    <xf numFmtId="168" fontId="17" fillId="3" borderId="1" xfId="0" applyNumberFormat="1" applyFont="1" applyFill="1" applyBorder="1"/>
    <xf numFmtId="168" fontId="11" fillId="8" borderId="1" xfId="0" applyNumberFormat="1" applyFont="1" applyFill="1" applyBorder="1"/>
    <xf numFmtId="168" fontId="15" fillId="8" borderId="1" xfId="0" applyNumberFormat="1" applyFont="1" applyFill="1" applyBorder="1"/>
    <xf numFmtId="168" fontId="16" fillId="9" borderId="1" xfId="0" applyNumberFormat="1" applyFont="1" applyFill="1" applyBorder="1"/>
    <xf numFmtId="0" fontId="16" fillId="0" borderId="9" xfId="0" applyFont="1" applyBorder="1"/>
    <xf numFmtId="0" fontId="16" fillId="0" borderId="10" xfId="0" applyFont="1" applyBorder="1"/>
    <xf numFmtId="0" fontId="3" fillId="0" borderId="16" xfId="0" applyFont="1" applyBorder="1"/>
    <xf numFmtId="0" fontId="2" fillId="0" borderId="17" xfId="0" applyFont="1" applyBorder="1"/>
    <xf numFmtId="0" fontId="13" fillId="5" borderId="19" xfId="0" applyFont="1" applyFill="1" applyBorder="1"/>
    <xf numFmtId="17" fontId="13" fillId="5" borderId="20" xfId="0" applyNumberFormat="1" applyFont="1" applyFill="1" applyBorder="1" applyAlignment="1">
      <alignment horizontal="center"/>
    </xf>
    <xf numFmtId="0" fontId="7" fillId="10" borderId="21" xfId="0" applyFont="1" applyFill="1" applyBorder="1"/>
    <xf numFmtId="165" fontId="7" fillId="10" borderId="22" xfId="0" applyNumberFormat="1" applyFont="1" applyFill="1" applyBorder="1"/>
    <xf numFmtId="164" fontId="18" fillId="10" borderId="22" xfId="0" applyNumberFormat="1" applyFont="1" applyFill="1" applyBorder="1"/>
    <xf numFmtId="164" fontId="6" fillId="10" borderId="22" xfId="0" applyNumberFormat="1" applyFont="1" applyFill="1" applyBorder="1"/>
    <xf numFmtId="165" fontId="18" fillId="10" borderId="22" xfId="0" applyNumberFormat="1" applyFont="1" applyFill="1" applyBorder="1"/>
    <xf numFmtId="169" fontId="6" fillId="10" borderId="22" xfId="0" applyNumberFormat="1" applyFont="1" applyFill="1" applyBorder="1"/>
    <xf numFmtId="165" fontId="6" fillId="10" borderId="22" xfId="0" applyNumberFormat="1" applyFont="1" applyFill="1" applyBorder="1"/>
    <xf numFmtId="0" fontId="7" fillId="11" borderId="21" xfId="0" applyFont="1" applyFill="1" applyBorder="1"/>
    <xf numFmtId="165" fontId="7" fillId="11" borderId="22" xfId="0" applyNumberFormat="1" applyFont="1" applyFill="1" applyBorder="1"/>
    <xf numFmtId="164" fontId="18" fillId="11" borderId="22" xfId="0" applyNumberFormat="1" applyFont="1" applyFill="1" applyBorder="1"/>
    <xf numFmtId="164" fontId="6" fillId="11" borderId="22" xfId="0" applyNumberFormat="1" applyFont="1" applyFill="1" applyBorder="1"/>
    <xf numFmtId="165" fontId="18" fillId="11" borderId="22" xfId="0" applyNumberFormat="1" applyFont="1" applyFill="1" applyBorder="1"/>
    <xf numFmtId="169" fontId="6" fillId="11" borderId="22" xfId="0" applyNumberFormat="1" applyFont="1" applyFill="1" applyBorder="1"/>
    <xf numFmtId="0" fontId="2" fillId="7" borderId="21" xfId="0" applyFont="1" applyFill="1" applyBorder="1"/>
    <xf numFmtId="164" fontId="2" fillId="11" borderId="22" xfId="0" applyNumberFormat="1" applyFont="1" applyFill="1" applyBorder="1"/>
    <xf numFmtId="164" fontId="20" fillId="11" borderId="22" xfId="0" applyNumberFormat="1" applyFont="1" applyFill="1" applyBorder="1"/>
    <xf numFmtId="0" fontId="7" fillId="10" borderId="22" xfId="0" applyFont="1" applyFill="1" applyBorder="1"/>
    <xf numFmtId="164" fontId="7" fillId="10" borderId="22" xfId="0" applyNumberFormat="1" applyFont="1" applyFill="1" applyBorder="1"/>
    <xf numFmtId="164" fontId="7" fillId="11" borderId="22" xfId="0" applyNumberFormat="1" applyFont="1" applyFill="1" applyBorder="1"/>
    <xf numFmtId="169" fontId="20" fillId="11" borderId="22" xfId="0" applyNumberFormat="1" applyFont="1" applyFill="1" applyBorder="1"/>
    <xf numFmtId="164" fontId="2" fillId="7" borderId="22" xfId="0" applyNumberFormat="1" applyFont="1" applyFill="1" applyBorder="1"/>
    <xf numFmtId="165" fontId="2" fillId="7" borderId="22" xfId="0" applyNumberFormat="1" applyFont="1" applyFill="1" applyBorder="1"/>
    <xf numFmtId="169" fontId="20" fillId="7" borderId="23" xfId="0" applyNumberFormat="1" applyFont="1" applyFill="1" applyBorder="1"/>
    <xf numFmtId="0" fontId="7" fillId="7" borderId="21" xfId="0" applyFont="1" applyFill="1" applyBorder="1"/>
    <xf numFmtId="9" fontId="7" fillId="10" borderId="22" xfId="0" applyNumberFormat="1" applyFont="1" applyFill="1" applyBorder="1"/>
    <xf numFmtId="169" fontId="2" fillId="0" borderId="0" xfId="0" applyNumberFormat="1" applyFont="1"/>
    <xf numFmtId="9" fontId="7" fillId="7" borderId="22" xfId="0" applyNumberFormat="1" applyFont="1" applyFill="1" applyBorder="1"/>
    <xf numFmtId="10" fontId="2" fillId="0" borderId="0" xfId="0" applyNumberFormat="1" applyFont="1"/>
    <xf numFmtId="0" fontId="2" fillId="10" borderId="22" xfId="0" applyFont="1" applyFill="1" applyBorder="1"/>
    <xf numFmtId="0" fontId="2" fillId="10" borderId="23" xfId="0" applyFont="1" applyFill="1" applyBorder="1"/>
    <xf numFmtId="169" fontId="7" fillId="0" borderId="0" xfId="0" applyNumberFormat="1" applyFont="1"/>
    <xf numFmtId="0" fontId="20" fillId="0" borderId="0" xfId="0" applyFont="1"/>
    <xf numFmtId="17" fontId="2" fillId="0" borderId="0" xfId="0" applyNumberFormat="1" applyFont="1" applyAlignment="1">
      <alignment horizontal="center"/>
    </xf>
    <xf numFmtId="17" fontId="2" fillId="0" borderId="0" xfId="0" applyNumberFormat="1" applyFont="1"/>
    <xf numFmtId="0" fontId="0" fillId="13" borderId="0" xfId="0" applyFill="1"/>
    <xf numFmtId="0" fontId="2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2" fillId="0" borderId="0" xfId="0" applyFont="1"/>
    <xf numFmtId="10" fontId="2" fillId="0" borderId="0" xfId="2" applyNumberFormat="1" applyFont="1"/>
    <xf numFmtId="0" fontId="7" fillId="2" borderId="16" xfId="0" applyFont="1" applyFill="1" applyBorder="1" applyAlignment="1">
      <alignment vertical="center"/>
    </xf>
    <xf numFmtId="0" fontId="36" fillId="17" borderId="28" xfId="0" applyFont="1" applyFill="1" applyBorder="1" applyAlignment="1">
      <alignment vertical="center"/>
    </xf>
    <xf numFmtId="0" fontId="36" fillId="17" borderId="28" xfId="0" applyFont="1" applyFill="1" applyBorder="1" applyAlignment="1">
      <alignment horizontal="justify" vertical="justify"/>
    </xf>
    <xf numFmtId="165" fontId="37" fillId="17" borderId="28" xfId="2" applyNumberFormat="1" applyFont="1" applyFill="1" applyBorder="1" applyAlignment="1" applyProtection="1">
      <alignment horizontal="left" vertical="center" indent="1"/>
    </xf>
    <xf numFmtId="167" fontId="38" fillId="17" borderId="28" xfId="3" applyNumberFormat="1" applyFont="1" applyFill="1" applyBorder="1" applyAlignment="1" applyProtection="1">
      <alignment horizontal="right" vertical="center" wrapText="1"/>
    </xf>
    <xf numFmtId="167" fontId="38" fillId="17" borderId="29" xfId="3" applyNumberFormat="1" applyFont="1" applyFill="1" applyBorder="1" applyAlignment="1" applyProtection="1">
      <alignment horizontal="right" vertical="center" wrapText="1"/>
    </xf>
    <xf numFmtId="0" fontId="39" fillId="18" borderId="26" xfId="0" quotePrefix="1" applyFont="1" applyFill="1" applyBorder="1" applyAlignment="1">
      <alignment horizontal="center" vertical="center" wrapText="1"/>
    </xf>
    <xf numFmtId="0" fontId="39" fillId="18" borderId="26" xfId="0" applyFont="1" applyFill="1" applyBorder="1" applyAlignment="1">
      <alignment horizontal="center" vertical="center" wrapText="1"/>
    </xf>
    <xf numFmtId="9" fontId="39" fillId="18" borderId="26" xfId="2" applyFont="1" applyFill="1" applyBorder="1" applyAlignment="1" applyProtection="1">
      <alignment horizontal="justify" vertical="center"/>
    </xf>
    <xf numFmtId="9" fontId="39" fillId="18" borderId="26" xfId="2" applyFont="1" applyFill="1" applyBorder="1" applyAlignment="1" applyProtection="1">
      <alignment horizontal="center" vertical="center"/>
    </xf>
    <xf numFmtId="0" fontId="39" fillId="18" borderId="26" xfId="0" applyFont="1" applyFill="1" applyBorder="1" applyAlignment="1">
      <alignment horizontal="center" vertical="center"/>
    </xf>
    <xf numFmtId="9" fontId="39" fillId="18" borderId="26" xfId="2" applyFont="1" applyFill="1" applyBorder="1" applyAlignment="1" applyProtection="1">
      <alignment horizontal="center" vertical="center" wrapText="1"/>
    </xf>
    <xf numFmtId="170" fontId="40" fillId="0" borderId="30" xfId="3" applyNumberFormat="1" applyFont="1" applyBorder="1" applyAlignment="1" applyProtection="1">
      <alignment horizontal="center" vertical="center" wrapText="1"/>
    </xf>
    <xf numFmtId="173" fontId="0" fillId="0" borderId="0" xfId="3" applyNumberFormat="1" applyFont="1"/>
    <xf numFmtId="0" fontId="30" fillId="0" borderId="0" xfId="0" applyFont="1"/>
    <xf numFmtId="43" fontId="0" fillId="0" borderId="0" xfId="0" applyNumberFormat="1"/>
    <xf numFmtId="0" fontId="42" fillId="19" borderId="0" xfId="0" applyFont="1" applyFill="1"/>
    <xf numFmtId="0" fontId="42" fillId="0" borderId="0" xfId="0" applyFont="1"/>
    <xf numFmtId="0" fontId="43" fillId="22" borderId="26" xfId="0" applyFont="1" applyFill="1" applyBorder="1" applyAlignment="1">
      <alignment horizontal="center" wrapText="1"/>
    </xf>
    <xf numFmtId="0" fontId="36" fillId="22" borderId="26" xfId="0" applyFont="1" applyFill="1" applyBorder="1" applyAlignment="1">
      <alignment horizontal="center"/>
    </xf>
    <xf numFmtId="0" fontId="44" fillId="13" borderId="37" xfId="0" applyFont="1" applyFill="1" applyBorder="1" applyAlignment="1">
      <alignment horizontal="center"/>
    </xf>
    <xf numFmtId="9" fontId="22" fillId="15" borderId="37" xfId="0" applyNumberFormat="1" applyFont="1" applyFill="1" applyBorder="1" applyAlignment="1">
      <alignment horizontal="center"/>
    </xf>
    <xf numFmtId="43" fontId="44" fillId="13" borderId="38" xfId="3" applyFont="1" applyFill="1" applyBorder="1" applyAlignment="1">
      <alignment horizontal="center"/>
    </xf>
    <xf numFmtId="0" fontId="44" fillId="13" borderId="38" xfId="0" applyFont="1" applyFill="1" applyBorder="1" applyAlignment="1">
      <alignment horizontal="center"/>
    </xf>
    <xf numFmtId="9" fontId="22" fillId="15" borderId="38" xfId="0" applyNumberFormat="1" applyFont="1" applyFill="1" applyBorder="1" applyAlignment="1">
      <alignment horizontal="center"/>
    </xf>
    <xf numFmtId="0" fontId="44" fillId="13" borderId="39" xfId="0" applyFont="1" applyFill="1" applyBorder="1" applyAlignment="1">
      <alignment horizontal="center"/>
    </xf>
    <xf numFmtId="9" fontId="22" fillId="15" borderId="39" xfId="0" applyNumberFormat="1" applyFont="1" applyFill="1" applyBorder="1" applyAlignment="1">
      <alignment horizontal="center"/>
    </xf>
    <xf numFmtId="43" fontId="44" fillId="13" borderId="39" xfId="3" applyFont="1" applyFill="1" applyBorder="1" applyAlignment="1">
      <alignment horizontal="center"/>
    </xf>
    <xf numFmtId="0" fontId="36" fillId="23" borderId="40" xfId="0" applyFont="1" applyFill="1" applyBorder="1" applyAlignment="1">
      <alignment horizontal="center"/>
    </xf>
    <xf numFmtId="0" fontId="36" fillId="23" borderId="37" xfId="0" applyFont="1" applyFill="1" applyBorder="1"/>
    <xf numFmtId="9" fontId="36" fillId="23" borderId="37" xfId="0" applyNumberFormat="1" applyFont="1" applyFill="1" applyBorder="1" applyAlignment="1">
      <alignment horizontal="center"/>
    </xf>
    <xf numFmtId="0" fontId="42" fillId="0" borderId="42" xfId="0" applyFont="1" applyBorder="1"/>
    <xf numFmtId="0" fontId="24" fillId="21" borderId="43" xfId="0" applyFont="1" applyFill="1" applyBorder="1"/>
    <xf numFmtId="0" fontId="25" fillId="22" borderId="40" xfId="0" applyFont="1" applyFill="1" applyBorder="1"/>
    <xf numFmtId="0" fontId="25" fillId="22" borderId="44" xfId="0" applyFont="1" applyFill="1" applyBorder="1" applyAlignment="1">
      <alignment horizontal="center"/>
    </xf>
    <xf numFmtId="17" fontId="25" fillId="22" borderId="45" xfId="0" applyNumberFormat="1" applyFont="1" applyFill="1" applyBorder="1" applyAlignment="1">
      <alignment horizontal="center"/>
    </xf>
    <xf numFmtId="17" fontId="25" fillId="22" borderId="46" xfId="0" applyNumberFormat="1" applyFont="1" applyFill="1" applyBorder="1" applyAlignment="1">
      <alignment horizontal="center"/>
    </xf>
    <xf numFmtId="17" fontId="25" fillId="22" borderId="47" xfId="0" applyNumberFormat="1" applyFont="1" applyFill="1" applyBorder="1" applyAlignment="1">
      <alignment horizontal="center"/>
    </xf>
    <xf numFmtId="0" fontId="26" fillId="21" borderId="35" xfId="0" applyFont="1" applyFill="1" applyBorder="1" applyAlignment="1">
      <alignment horizontal="center"/>
    </xf>
    <xf numFmtId="164" fontId="46" fillId="24" borderId="48" xfId="3" applyNumberFormat="1" applyFont="1" applyFill="1" applyBorder="1"/>
    <xf numFmtId="164" fontId="39" fillId="24" borderId="48" xfId="0" applyNumberFormat="1" applyFont="1" applyFill="1" applyBorder="1"/>
    <xf numFmtId="164" fontId="46" fillId="13" borderId="48" xfId="3" applyNumberFormat="1" applyFont="1" applyFill="1" applyBorder="1"/>
    <xf numFmtId="164" fontId="46" fillId="13" borderId="49" xfId="3" applyNumberFormat="1" applyFont="1" applyFill="1" applyBorder="1"/>
    <xf numFmtId="164" fontId="26" fillId="21" borderId="50" xfId="0" applyNumberFormat="1" applyFont="1" applyFill="1" applyBorder="1"/>
    <xf numFmtId="17" fontId="45" fillId="24" borderId="51" xfId="0" applyNumberFormat="1" applyFont="1" applyFill="1" applyBorder="1" applyAlignment="1">
      <alignment horizontal="center" vertical="center"/>
    </xf>
    <xf numFmtId="164" fontId="46" fillId="24" borderId="33" xfId="3" applyNumberFormat="1" applyFont="1" applyFill="1" applyBorder="1"/>
    <xf numFmtId="164" fontId="39" fillId="24" borderId="33" xfId="0" applyNumberFormat="1" applyFont="1" applyFill="1" applyBorder="1"/>
    <xf numFmtId="164" fontId="46" fillId="13" borderId="33" xfId="3" applyNumberFormat="1" applyFont="1" applyFill="1" applyBorder="1"/>
    <xf numFmtId="164" fontId="46" fillId="13" borderId="34" xfId="3" applyNumberFormat="1" applyFont="1" applyFill="1" applyBorder="1"/>
    <xf numFmtId="164" fontId="26" fillId="21" borderId="24" xfId="0" applyNumberFormat="1" applyFont="1" applyFill="1" applyBorder="1"/>
    <xf numFmtId="17" fontId="45" fillId="25" borderId="51" xfId="0" applyNumberFormat="1" applyFont="1" applyFill="1" applyBorder="1" applyAlignment="1">
      <alignment horizontal="center" vertical="center"/>
    </xf>
    <xf numFmtId="164" fontId="46" fillId="25" borderId="33" xfId="3" applyNumberFormat="1" applyFont="1" applyFill="1" applyBorder="1"/>
    <xf numFmtId="164" fontId="39" fillId="25" borderId="33" xfId="0" applyNumberFormat="1" applyFont="1" applyFill="1" applyBorder="1"/>
    <xf numFmtId="164" fontId="46" fillId="25" borderId="36" xfId="3" applyNumberFormat="1" applyFont="1" applyFill="1" applyBorder="1"/>
    <xf numFmtId="164" fontId="39" fillId="25" borderId="36" xfId="0" applyNumberFormat="1" applyFont="1" applyFill="1" applyBorder="1"/>
    <xf numFmtId="164" fontId="46" fillId="13" borderId="36" xfId="3" applyNumberFormat="1" applyFont="1" applyFill="1" applyBorder="1"/>
    <xf numFmtId="164" fontId="46" fillId="13" borderId="52" xfId="3" applyNumberFormat="1" applyFont="1" applyFill="1" applyBorder="1"/>
    <xf numFmtId="164" fontId="26" fillId="21" borderId="25" xfId="0" applyNumberFormat="1" applyFont="1" applyFill="1" applyBorder="1"/>
    <xf numFmtId="17" fontId="27" fillId="21" borderId="53" xfId="0" applyNumberFormat="1" applyFont="1" applyFill="1" applyBorder="1"/>
    <xf numFmtId="164" fontId="26" fillId="21" borderId="42" xfId="0" applyNumberFormat="1" applyFont="1" applyFill="1" applyBorder="1"/>
    <xf numFmtId="0" fontId="26" fillId="21" borderId="42" xfId="0" applyFont="1" applyFill="1" applyBorder="1"/>
    <xf numFmtId="9" fontId="7" fillId="28" borderId="16" xfId="0" applyNumberFormat="1" applyFont="1" applyFill="1" applyBorder="1"/>
    <xf numFmtId="164" fontId="2" fillId="28" borderId="16" xfId="0" applyNumberFormat="1" applyFont="1" applyFill="1" applyBorder="1"/>
    <xf numFmtId="164" fontId="20" fillId="29" borderId="16" xfId="0" applyNumberFormat="1" applyFont="1" applyFill="1" applyBorder="1"/>
    <xf numFmtId="165" fontId="2" fillId="28" borderId="16" xfId="0" applyNumberFormat="1" applyFont="1" applyFill="1" applyBorder="1"/>
    <xf numFmtId="169" fontId="20" fillId="28" borderId="16" xfId="0" applyNumberFormat="1" applyFont="1" applyFill="1" applyBorder="1"/>
    <xf numFmtId="165" fontId="19" fillId="28" borderId="16" xfId="0" applyNumberFormat="1" applyFont="1" applyFill="1" applyBorder="1"/>
    <xf numFmtId="0" fontId="0" fillId="30" borderId="0" xfId="0" applyFill="1"/>
    <xf numFmtId="173" fontId="2" fillId="0" borderId="0" xfId="3" applyNumberFormat="1" applyFont="1" applyAlignment="1">
      <alignment horizontal="center" vertical="center"/>
    </xf>
    <xf numFmtId="0" fontId="13" fillId="12" borderId="16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13" borderId="16" xfId="0" applyFill="1" applyBorder="1"/>
    <xf numFmtId="164" fontId="2" fillId="33" borderId="22" xfId="0" applyNumberFormat="1" applyFont="1" applyFill="1" applyBorder="1"/>
    <xf numFmtId="169" fontId="20" fillId="33" borderId="23" xfId="0" applyNumberFormat="1" applyFont="1" applyFill="1" applyBorder="1"/>
    <xf numFmtId="0" fontId="48" fillId="0" borderId="0" xfId="0" applyFont="1"/>
    <xf numFmtId="0" fontId="49" fillId="34" borderId="26" xfId="0" applyFont="1" applyFill="1" applyBorder="1" applyAlignment="1">
      <alignment vertical="center" wrapText="1"/>
    </xf>
    <xf numFmtId="0" fontId="49" fillId="34" borderId="26" xfId="0" applyFont="1" applyFill="1" applyBorder="1" applyAlignment="1">
      <alignment horizontal="center" vertical="center" wrapText="1"/>
    </xf>
    <xf numFmtId="0" fontId="50" fillId="34" borderId="26" xfId="0" applyFont="1" applyFill="1" applyBorder="1" applyAlignment="1">
      <alignment vertical="center" wrapText="1"/>
    </xf>
    <xf numFmtId="43" fontId="50" fillId="34" borderId="26" xfId="3" applyFont="1" applyFill="1" applyBorder="1" applyAlignment="1">
      <alignment vertical="center" wrapText="1"/>
    </xf>
    <xf numFmtId="0" fontId="51" fillId="34" borderId="26" xfId="1" applyFont="1" applyFill="1" applyBorder="1" applyAlignment="1">
      <alignment vertical="center" wrapText="1"/>
    </xf>
    <xf numFmtId="0" fontId="28" fillId="0" borderId="0" xfId="1" applyAlignment="1" applyProtection="1"/>
    <xf numFmtId="0" fontId="52" fillId="0" borderId="0" xfId="0" applyFont="1" applyAlignment="1">
      <alignment horizontal="left" vertical="center"/>
    </xf>
    <xf numFmtId="0" fontId="52" fillId="0" borderId="58" xfId="0" applyFont="1" applyBorder="1" applyAlignment="1">
      <alignment horizontal="center" vertical="center" wrapText="1"/>
    </xf>
    <xf numFmtId="0" fontId="52" fillId="0" borderId="59" xfId="0" applyFont="1" applyBorder="1" applyAlignment="1">
      <alignment vertical="center" wrapText="1"/>
    </xf>
    <xf numFmtId="0" fontId="52" fillId="0" borderId="60" xfId="0" applyFont="1" applyBorder="1" applyAlignment="1">
      <alignment vertical="center" wrapText="1"/>
    </xf>
    <xf numFmtId="10" fontId="52" fillId="0" borderId="60" xfId="0" applyNumberFormat="1" applyFont="1" applyBorder="1" applyAlignment="1">
      <alignment horizontal="center" vertical="center" wrapText="1"/>
    </xf>
    <xf numFmtId="0" fontId="52" fillId="0" borderId="60" xfId="0" applyFont="1" applyBorder="1" applyAlignment="1">
      <alignment horizontal="center" vertical="center" wrapText="1"/>
    </xf>
    <xf numFmtId="4" fontId="52" fillId="0" borderId="60" xfId="0" applyNumberFormat="1" applyFont="1" applyBorder="1" applyAlignment="1">
      <alignment horizontal="center" vertical="center" wrapText="1"/>
    </xf>
    <xf numFmtId="0" fontId="33" fillId="0" borderId="0" xfId="0" applyFont="1"/>
    <xf numFmtId="0" fontId="40" fillId="15" borderId="30" xfId="0" applyFont="1" applyFill="1" applyBorder="1" applyAlignment="1">
      <alignment horizontal="center" vertical="center"/>
    </xf>
    <xf numFmtId="0" fontId="57" fillId="35" borderId="16" xfId="0" applyFont="1" applyFill="1" applyBorder="1" applyAlignment="1">
      <alignment horizontal="center" vertical="center"/>
    </xf>
    <xf numFmtId="0" fontId="47" fillId="36" borderId="0" xfId="0" applyFont="1" applyFill="1"/>
    <xf numFmtId="0" fontId="57" fillId="35" borderId="16" xfId="0" applyFont="1" applyFill="1" applyBorder="1"/>
    <xf numFmtId="0" fontId="13" fillId="12" borderId="16" xfId="0" applyFont="1" applyFill="1" applyBorder="1"/>
    <xf numFmtId="170" fontId="40" fillId="15" borderId="30" xfId="3" applyNumberFormat="1" applyFont="1" applyFill="1" applyBorder="1" applyAlignment="1" applyProtection="1">
      <alignment horizontal="left" vertical="center" wrapText="1" indent="1"/>
      <protection locked="0"/>
    </xf>
    <xf numFmtId="171" fontId="40" fillId="15" borderId="30" xfId="3" applyNumberFormat="1" applyFont="1" applyFill="1" applyBorder="1" applyAlignment="1" applyProtection="1">
      <alignment horizontal="center" vertical="center" wrapText="1"/>
    </xf>
    <xf numFmtId="171" fontId="56" fillId="13" borderId="31" xfId="3" applyNumberFormat="1" applyFont="1" applyFill="1" applyBorder="1" applyAlignment="1" applyProtection="1">
      <alignment horizontal="right" vertical="center"/>
      <protection locked="0"/>
    </xf>
    <xf numFmtId="172" fontId="40" fillId="15" borderId="30" xfId="3" applyNumberFormat="1" applyFont="1" applyFill="1" applyBorder="1" applyAlignment="1" applyProtection="1">
      <alignment horizontal="center" vertical="center"/>
    </xf>
    <xf numFmtId="0" fontId="21" fillId="17" borderId="27" xfId="0" applyFont="1" applyFill="1" applyBorder="1" applyAlignment="1">
      <alignment vertical="center"/>
    </xf>
    <xf numFmtId="10" fontId="36" fillId="15" borderId="28" xfId="2" applyNumberFormat="1" applyFont="1" applyFill="1" applyBorder="1" applyAlignment="1" applyProtection="1">
      <alignment horizontal="center" vertical="center" wrapText="1"/>
      <protection locked="0"/>
    </xf>
    <xf numFmtId="10" fontId="21" fillId="37" borderId="28" xfId="2" applyNumberFormat="1" applyFont="1" applyFill="1" applyBorder="1" applyAlignment="1" applyProtection="1">
      <alignment horizontal="center" vertical="center" wrapText="1"/>
      <protection locked="0"/>
    </xf>
    <xf numFmtId="0" fontId="47" fillId="37" borderId="28" xfId="0" applyFont="1" applyFill="1" applyBorder="1"/>
    <xf numFmtId="165" fontId="7" fillId="38" borderId="22" xfId="0" applyNumberFormat="1" applyFont="1" applyFill="1" applyBorder="1"/>
    <xf numFmtId="0" fontId="7" fillId="39" borderId="21" xfId="0" applyFont="1" applyFill="1" applyBorder="1"/>
    <xf numFmtId="165" fontId="7" fillId="39" borderId="22" xfId="0" applyNumberFormat="1" applyFont="1" applyFill="1" applyBorder="1"/>
    <xf numFmtId="164" fontId="7" fillId="39" borderId="22" xfId="0" applyNumberFormat="1" applyFont="1" applyFill="1" applyBorder="1"/>
    <xf numFmtId="164" fontId="6" fillId="33" borderId="22" xfId="0" applyNumberFormat="1" applyFont="1" applyFill="1" applyBorder="1"/>
    <xf numFmtId="169" fontId="6" fillId="39" borderId="23" xfId="0" applyNumberFormat="1" applyFont="1" applyFill="1" applyBorder="1"/>
    <xf numFmtId="164" fontId="2" fillId="40" borderId="22" xfId="0" applyNumberFormat="1" applyFont="1" applyFill="1" applyBorder="1"/>
    <xf numFmtId="164" fontId="39" fillId="15" borderId="48" xfId="0" applyNumberFormat="1" applyFont="1" applyFill="1" applyBorder="1"/>
    <xf numFmtId="164" fontId="26" fillId="21" borderId="54" xfId="0" applyNumberFormat="1" applyFont="1" applyFill="1" applyBorder="1"/>
    <xf numFmtId="164" fontId="26" fillId="21" borderId="55" xfId="0" applyNumberFormat="1" applyFont="1" applyFill="1" applyBorder="1"/>
    <xf numFmtId="164" fontId="26" fillId="21" borderId="56" xfId="0" applyNumberFormat="1" applyFont="1" applyFill="1" applyBorder="1"/>
    <xf numFmtId="0" fontId="36" fillId="23" borderId="41" xfId="0" applyFont="1" applyFill="1" applyBorder="1" applyAlignment="1">
      <alignment horizontal="center"/>
    </xf>
    <xf numFmtId="168" fontId="11" fillId="41" borderId="8" xfId="0" applyNumberFormat="1" applyFont="1" applyFill="1" applyBorder="1"/>
    <xf numFmtId="168" fontId="15" fillId="41" borderId="8" xfId="0" applyNumberFormat="1" applyFont="1" applyFill="1" applyBorder="1"/>
    <xf numFmtId="168" fontId="11" fillId="42" borderId="8" xfId="0" applyNumberFormat="1" applyFont="1" applyFill="1" applyBorder="1"/>
    <xf numFmtId="168" fontId="15" fillId="43" borderId="8" xfId="0" applyNumberFormat="1" applyFont="1" applyFill="1" applyBorder="1"/>
    <xf numFmtId="10" fontId="0" fillId="0" borderId="0" xfId="2" applyNumberFormat="1" applyFont="1"/>
    <xf numFmtId="17" fontId="13" fillId="5" borderId="19" xfId="0" applyNumberFormat="1" applyFont="1" applyFill="1" applyBorder="1" applyAlignment="1">
      <alignment horizontal="center"/>
    </xf>
    <xf numFmtId="0" fontId="2" fillId="44" borderId="21" xfId="0" applyFont="1" applyFill="1" applyBorder="1"/>
    <xf numFmtId="0" fontId="13" fillId="45" borderId="19" xfId="0" applyFont="1" applyFill="1" applyBorder="1"/>
    <xf numFmtId="17" fontId="13" fillId="45" borderId="19" xfId="0" applyNumberFormat="1" applyFont="1" applyFill="1" applyBorder="1" applyAlignment="1">
      <alignment horizontal="center"/>
    </xf>
    <xf numFmtId="2" fontId="7" fillId="45" borderId="19" xfId="0" applyNumberFormat="1" applyFont="1" applyFill="1" applyBorder="1" applyAlignment="1">
      <alignment horizontal="center"/>
    </xf>
    <xf numFmtId="2" fontId="6" fillId="45" borderId="19" xfId="0" applyNumberFormat="1" applyFont="1" applyFill="1" applyBorder="1" applyAlignment="1">
      <alignment horizontal="center"/>
    </xf>
    <xf numFmtId="164" fontId="20" fillId="7" borderId="22" xfId="0" applyNumberFormat="1" applyFont="1" applyFill="1" applyBorder="1"/>
    <xf numFmtId="0" fontId="7" fillId="3" borderId="16" xfId="0" applyFont="1" applyFill="1" applyBorder="1"/>
    <xf numFmtId="0" fontId="7" fillId="32" borderId="61" xfId="0" applyFont="1" applyFill="1" applyBorder="1"/>
    <xf numFmtId="165" fontId="7" fillId="32" borderId="61" xfId="0" applyNumberFormat="1" applyFont="1" applyFill="1" applyBorder="1"/>
    <xf numFmtId="0" fontId="2" fillId="32" borderId="61" xfId="0" applyFont="1" applyFill="1" applyBorder="1"/>
    <xf numFmtId="165" fontId="6" fillId="32" borderId="61" xfId="0" applyNumberFormat="1" applyFont="1" applyFill="1" applyBorder="1"/>
    <xf numFmtId="173" fontId="7" fillId="46" borderId="19" xfId="3" applyNumberFormat="1" applyFont="1" applyFill="1" applyBorder="1" applyAlignment="1">
      <alignment horizontal="center"/>
    </xf>
    <xf numFmtId="43" fontId="7" fillId="46" borderId="19" xfId="3" applyFont="1" applyFill="1" applyBorder="1" applyAlignment="1">
      <alignment horizontal="center"/>
    </xf>
    <xf numFmtId="10" fontId="7" fillId="47" borderId="22" xfId="0" applyNumberFormat="1" applyFont="1" applyFill="1" applyBorder="1"/>
    <xf numFmtId="165" fontId="7" fillId="47" borderId="22" xfId="0" applyNumberFormat="1" applyFont="1" applyFill="1" applyBorder="1"/>
    <xf numFmtId="164" fontId="2" fillId="48" borderId="22" xfId="0" applyNumberFormat="1" applyFont="1" applyFill="1" applyBorder="1"/>
    <xf numFmtId="165" fontId="7" fillId="48" borderId="22" xfId="0" applyNumberFormat="1" applyFont="1" applyFill="1" applyBorder="1"/>
    <xf numFmtId="173" fontId="6" fillId="46" borderId="19" xfId="3" applyNumberFormat="1" applyFont="1" applyFill="1" applyBorder="1" applyAlignment="1">
      <alignment horizontal="center"/>
    </xf>
    <xf numFmtId="43" fontId="6" fillId="46" borderId="19" xfId="3" applyFont="1" applyFill="1" applyBorder="1" applyAlignment="1">
      <alignment horizontal="center"/>
    </xf>
    <xf numFmtId="164" fontId="20" fillId="49" borderId="22" xfId="0" applyNumberFormat="1" applyFont="1" applyFill="1" applyBorder="1"/>
    <xf numFmtId="164" fontId="20" fillId="48" borderId="22" xfId="0" applyNumberFormat="1" applyFont="1" applyFill="1" applyBorder="1"/>
    <xf numFmtId="164" fontId="18" fillId="33" borderId="22" xfId="0" applyNumberFormat="1" applyFont="1" applyFill="1" applyBorder="1"/>
    <xf numFmtId="168" fontId="0" fillId="0" borderId="0" xfId="0" applyNumberFormat="1"/>
    <xf numFmtId="168" fontId="17" fillId="50" borderId="1" xfId="0" applyNumberFormat="1" applyFont="1" applyFill="1" applyBorder="1"/>
    <xf numFmtId="164" fontId="2" fillId="51" borderId="22" xfId="0" applyNumberFormat="1" applyFont="1" applyFill="1" applyBorder="1"/>
    <xf numFmtId="164" fontId="7" fillId="31" borderId="22" xfId="0" applyNumberFormat="1" applyFont="1" applyFill="1" applyBorder="1"/>
    <xf numFmtId="0" fontId="29" fillId="52" borderId="26" xfId="0" applyFont="1" applyFill="1" applyBorder="1"/>
    <xf numFmtId="0" fontId="29" fillId="52" borderId="26" xfId="0" applyFont="1" applyFill="1" applyBorder="1" applyAlignment="1">
      <alignment horizontal="center" vertical="center"/>
    </xf>
    <xf numFmtId="0" fontId="0" fillId="13" borderId="38" xfId="0" applyFill="1" applyBorder="1"/>
    <xf numFmtId="10" fontId="0" fillId="13" borderId="38" xfId="0" applyNumberFormat="1" applyFill="1" applyBorder="1" applyProtection="1">
      <protection locked="0"/>
    </xf>
    <xf numFmtId="10" fontId="0" fillId="19" borderId="38" xfId="0" applyNumberFormat="1" applyFill="1" applyBorder="1" applyProtection="1">
      <protection locked="0"/>
    </xf>
    <xf numFmtId="0" fontId="0" fillId="52" borderId="26" xfId="0" applyFill="1" applyBorder="1"/>
    <xf numFmtId="10" fontId="0" fillId="52" borderId="26" xfId="0" applyNumberFormat="1" applyFill="1" applyBorder="1"/>
    <xf numFmtId="0" fontId="29" fillId="13" borderId="0" xfId="0" applyFont="1" applyFill="1"/>
    <xf numFmtId="173" fontId="29" fillId="15" borderId="16" xfId="3" applyNumberFormat="1" applyFont="1" applyFill="1" applyBorder="1" applyAlignment="1">
      <alignment horizontal="center" vertical="center"/>
    </xf>
    <xf numFmtId="10" fontId="29" fillId="27" borderId="0" xfId="2" applyNumberFormat="1" applyFont="1" applyFill="1"/>
    <xf numFmtId="1" fontId="61" fillId="54" borderId="33" xfId="0" applyNumberFormat="1" applyFont="1" applyFill="1" applyBorder="1" applyAlignment="1">
      <alignment horizontal="center"/>
    </xf>
    <xf numFmtId="0" fontId="0" fillId="13" borderId="33" xfId="0" applyFill="1" applyBorder="1" applyAlignment="1">
      <alignment horizontal="left" vertical="center" wrapText="1"/>
    </xf>
    <xf numFmtId="10" fontId="62" fillId="27" borderId="33" xfId="2" applyNumberFormat="1" applyFont="1" applyFill="1" applyBorder="1" applyAlignment="1" applyProtection="1">
      <alignment horizontal="center" vertical="center" wrapText="1"/>
      <protection locked="0"/>
    </xf>
    <xf numFmtId="164" fontId="62" fillId="27" borderId="33" xfId="3" applyNumberFormat="1" applyFont="1" applyFill="1" applyBorder="1" applyAlignment="1" applyProtection="1">
      <alignment horizontal="center" vertical="center" wrapText="1"/>
      <protection locked="0"/>
    </xf>
    <xf numFmtId="10" fontId="62" fillId="27" borderId="33" xfId="2" quotePrefix="1" applyNumberFormat="1" applyFont="1" applyFill="1" applyBorder="1" applyAlignment="1" applyProtection="1">
      <alignment horizontal="center" vertical="center" wrapText="1"/>
      <protection locked="0"/>
    </xf>
    <xf numFmtId="0" fontId="61" fillId="54" borderId="33" xfId="0" applyFont="1" applyFill="1" applyBorder="1" applyAlignment="1">
      <alignment horizontal="left" vertical="center" wrapText="1"/>
    </xf>
    <xf numFmtId="0" fontId="55" fillId="30" borderId="37" xfId="0" applyFont="1" applyFill="1" applyBorder="1" applyAlignment="1">
      <alignment horizontal="right" vertical="center"/>
    </xf>
    <xf numFmtId="0" fontId="63" fillId="15" borderId="37" xfId="0" applyFont="1" applyFill="1" applyBorder="1" applyAlignment="1">
      <alignment vertical="center" wrapText="1"/>
    </xf>
    <xf numFmtId="171" fontId="64" fillId="15" borderId="26" xfId="3" applyNumberFormat="1" applyFont="1" applyFill="1" applyBorder="1" applyAlignment="1">
      <alignment vertical="center" wrapText="1"/>
    </xf>
    <xf numFmtId="0" fontId="65" fillId="30" borderId="0" xfId="0" applyFont="1" applyFill="1" applyAlignment="1">
      <alignment horizontal="center" vertical="center" wrapText="1"/>
    </xf>
    <xf numFmtId="171" fontId="61" fillId="30" borderId="53" xfId="3" applyNumberFormat="1" applyFont="1" applyFill="1" applyBorder="1" applyAlignment="1">
      <alignment horizontal="center" vertical="center" wrapText="1"/>
    </xf>
    <xf numFmtId="171" fontId="61" fillId="30" borderId="26" xfId="3" applyNumberFormat="1" applyFont="1" applyFill="1" applyBorder="1" applyAlignment="1">
      <alignment horizontal="center" vertical="center" wrapText="1"/>
    </xf>
    <xf numFmtId="0" fontId="61" fillId="30" borderId="41" xfId="0" applyFont="1" applyFill="1" applyBorder="1" applyAlignment="1">
      <alignment horizontal="left" vertical="center" wrapText="1"/>
    </xf>
    <xf numFmtId="0" fontId="61" fillId="30" borderId="26" xfId="0" applyFont="1" applyFill="1" applyBorder="1" applyAlignment="1">
      <alignment vertical="center"/>
    </xf>
    <xf numFmtId="1" fontId="66" fillId="15" borderId="27" xfId="0" applyNumberFormat="1" applyFont="1" applyFill="1" applyBorder="1" applyAlignment="1">
      <alignment horizontal="center" vertical="center"/>
    </xf>
    <xf numFmtId="174" fontId="67" fillId="13" borderId="27" xfId="0" applyNumberFormat="1" applyFont="1" applyFill="1" applyBorder="1" applyAlignment="1">
      <alignment horizontal="right" vertical="center"/>
    </xf>
    <xf numFmtId="175" fontId="68" fillId="15" borderId="26" xfId="0" applyNumberFormat="1" applyFont="1" applyFill="1" applyBorder="1" applyAlignment="1">
      <alignment vertical="center"/>
    </xf>
    <xf numFmtId="175" fontId="68" fillId="15" borderId="37" xfId="0" applyNumberFormat="1" applyFont="1" applyFill="1" applyBorder="1" applyAlignment="1">
      <alignment horizontal="right" vertical="center"/>
    </xf>
    <xf numFmtId="0" fontId="61" fillId="30" borderId="26" xfId="0" applyFont="1" applyFill="1" applyBorder="1" applyAlignment="1">
      <alignment horizontal="left" vertical="center"/>
    </xf>
    <xf numFmtId="0" fontId="41" fillId="15" borderId="26" xfId="0" applyFont="1" applyFill="1" applyBorder="1" applyAlignment="1">
      <alignment horizontal="center" vertical="center"/>
    </xf>
    <xf numFmtId="0" fontId="61" fillId="30" borderId="0" xfId="0" applyFont="1" applyFill="1" applyAlignment="1">
      <alignment vertical="center"/>
    </xf>
    <xf numFmtId="0" fontId="0" fillId="30" borderId="28" xfId="0" applyFill="1" applyBorder="1"/>
    <xf numFmtId="10" fontId="66" fillId="30" borderId="29" xfId="2" applyNumberFormat="1" applyFont="1" applyFill="1" applyBorder="1" applyAlignment="1">
      <alignment horizontal="right" vertical="center"/>
    </xf>
    <xf numFmtId="10" fontId="30" fillId="20" borderId="39" xfId="0" applyNumberFormat="1" applyFont="1" applyFill="1" applyBorder="1" applyAlignment="1">
      <alignment horizontal="right" vertical="center"/>
    </xf>
    <xf numFmtId="10" fontId="30" fillId="20" borderId="26" xfId="0" applyNumberFormat="1" applyFont="1" applyFill="1" applyBorder="1" applyAlignment="1">
      <alignment horizontal="right" vertical="center"/>
    </xf>
    <xf numFmtId="0" fontId="61" fillId="30" borderId="27" xfId="0" applyFont="1" applyFill="1" applyBorder="1" applyAlignment="1">
      <alignment vertical="center"/>
    </xf>
    <xf numFmtId="10" fontId="66" fillId="15" borderId="26" xfId="2" applyNumberFormat="1" applyFont="1" applyFill="1" applyBorder="1" applyAlignment="1">
      <alignment horizontal="right" vertical="center"/>
    </xf>
    <xf numFmtId="10" fontId="66" fillId="30" borderId="26" xfId="2" applyNumberFormat="1" applyFont="1" applyFill="1" applyBorder="1" applyAlignment="1">
      <alignment horizontal="right" vertical="center"/>
    </xf>
    <xf numFmtId="0" fontId="41" fillId="15" borderId="26" xfId="0" applyFont="1" applyFill="1" applyBorder="1" applyAlignment="1">
      <alignment horizontal="center"/>
    </xf>
    <xf numFmtId="171" fontId="64" fillId="30" borderId="27" xfId="3" applyNumberFormat="1" applyFont="1" applyFill="1" applyBorder="1"/>
    <xf numFmtId="10" fontId="61" fillId="27" borderId="66" xfId="0" applyNumberFormat="1" applyFont="1" applyFill="1" applyBorder="1" applyAlignment="1">
      <alignment vertical="center"/>
    </xf>
    <xf numFmtId="0" fontId="61" fillId="13" borderId="67" xfId="0" applyFont="1" applyFill="1" applyBorder="1" applyAlignment="1">
      <alignment vertical="center"/>
    </xf>
    <xf numFmtId="0" fontId="61" fillId="13" borderId="43" xfId="0" applyFont="1" applyFill="1" applyBorder="1" applyAlignment="1">
      <alignment vertical="center"/>
    </xf>
    <xf numFmtId="0" fontId="0" fillId="13" borderId="43" xfId="0" applyFill="1" applyBorder="1"/>
    <xf numFmtId="10" fontId="66" fillId="13" borderId="68" xfId="0" applyNumberFormat="1" applyFont="1" applyFill="1" applyBorder="1" applyAlignment="1">
      <alignment horizontal="right" vertical="center"/>
    </xf>
    <xf numFmtId="10" fontId="66" fillId="15" borderId="69" xfId="0" applyNumberFormat="1" applyFont="1" applyFill="1" applyBorder="1" applyAlignment="1">
      <alignment horizontal="right" vertical="center"/>
    </xf>
    <xf numFmtId="0" fontId="69" fillId="13" borderId="0" xfId="0" applyFont="1" applyFill="1" applyAlignment="1">
      <alignment vertical="center"/>
    </xf>
    <xf numFmtId="171" fontId="69" fillId="13" borderId="62" xfId="3" applyNumberFormat="1" applyFont="1" applyFill="1" applyBorder="1" applyAlignment="1">
      <alignment vertical="center"/>
    </xf>
    <xf numFmtId="10" fontId="69" fillId="13" borderId="70" xfId="0" applyNumberFormat="1" applyFont="1" applyFill="1" applyBorder="1" applyAlignment="1">
      <alignment vertical="center"/>
    </xf>
    <xf numFmtId="0" fontId="61" fillId="13" borderId="71" xfId="0" applyFont="1" applyFill="1" applyBorder="1" applyAlignment="1">
      <alignment vertical="center"/>
    </xf>
    <xf numFmtId="0" fontId="61" fillId="13" borderId="72" xfId="0" applyFont="1" applyFill="1" applyBorder="1" applyAlignment="1">
      <alignment vertical="center"/>
    </xf>
    <xf numFmtId="0" fontId="0" fillId="13" borderId="72" xfId="0" applyFill="1" applyBorder="1"/>
    <xf numFmtId="10" fontId="66" fillId="13" borderId="73" xfId="0" applyNumberFormat="1" applyFont="1" applyFill="1" applyBorder="1" applyAlignment="1">
      <alignment horizontal="right" vertical="center"/>
    </xf>
    <xf numFmtId="10" fontId="66" fillId="15" borderId="32" xfId="0" applyNumberFormat="1" applyFont="1" applyFill="1" applyBorder="1" applyAlignment="1">
      <alignment horizontal="right" vertical="center"/>
    </xf>
    <xf numFmtId="171" fontId="61" fillId="30" borderId="62" xfId="3" applyNumberFormat="1" applyFont="1" applyFill="1" applyBorder="1" applyAlignment="1">
      <alignment vertical="center"/>
    </xf>
    <xf numFmtId="10" fontId="61" fillId="30" borderId="70" xfId="0" applyNumberFormat="1" applyFont="1" applyFill="1" applyBorder="1" applyAlignment="1">
      <alignment vertical="center"/>
    </xf>
    <xf numFmtId="0" fontId="70" fillId="30" borderId="0" xfId="0" applyFont="1" applyFill="1" applyAlignment="1">
      <alignment vertical="center"/>
    </xf>
    <xf numFmtId="10" fontId="70" fillId="30" borderId="26" xfId="0" applyNumberFormat="1" applyFont="1" applyFill="1" applyBorder="1" applyAlignment="1">
      <alignment vertical="center"/>
    </xf>
    <xf numFmtId="0" fontId="71" fillId="13" borderId="0" xfId="0" applyFont="1" applyFill="1" applyAlignment="1">
      <alignment vertical="center"/>
    </xf>
    <xf numFmtId="171" fontId="71" fillId="13" borderId="62" xfId="3" applyNumberFormat="1" applyFont="1" applyFill="1" applyBorder="1" applyAlignment="1">
      <alignment vertical="center"/>
    </xf>
    <xf numFmtId="10" fontId="71" fillId="13" borderId="70" xfId="0" applyNumberFormat="1" applyFont="1" applyFill="1" applyBorder="1"/>
    <xf numFmtId="0" fontId="70" fillId="30" borderId="67" xfId="0" applyFont="1" applyFill="1" applyBorder="1" applyAlignment="1">
      <alignment vertical="center"/>
    </xf>
    <xf numFmtId="0" fontId="70" fillId="30" borderId="43" xfId="0" applyFont="1" applyFill="1" applyBorder="1"/>
    <xf numFmtId="0" fontId="0" fillId="30" borderId="43" xfId="0" applyFill="1" applyBorder="1"/>
    <xf numFmtId="10" fontId="0" fillId="30" borderId="68" xfId="0" applyNumberFormat="1" applyFill="1" applyBorder="1"/>
    <xf numFmtId="10" fontId="70" fillId="30" borderId="30" xfId="0" applyNumberFormat="1" applyFont="1" applyFill="1" applyBorder="1"/>
    <xf numFmtId="10" fontId="69" fillId="13" borderId="70" xfId="0" applyNumberFormat="1" applyFont="1" applyFill="1" applyBorder="1"/>
    <xf numFmtId="0" fontId="29" fillId="13" borderId="74" xfId="0" applyFont="1" applyFill="1" applyBorder="1" applyAlignment="1">
      <alignment horizontal="left" vertical="center" wrapText="1"/>
    </xf>
    <xf numFmtId="0" fontId="0" fillId="13" borderId="35" xfId="0" applyFill="1" applyBorder="1"/>
    <xf numFmtId="0" fontId="0" fillId="0" borderId="35" xfId="0" applyBorder="1"/>
    <xf numFmtId="10" fontId="66" fillId="13" borderId="75" xfId="0" applyNumberFormat="1" applyFont="1" applyFill="1" applyBorder="1" applyAlignment="1">
      <alignment horizontal="right" vertical="center"/>
    </xf>
    <xf numFmtId="10" fontId="66" fillId="13" borderId="75" xfId="2" applyNumberFormat="1" applyFont="1" applyFill="1" applyBorder="1" applyAlignment="1">
      <alignment horizontal="right" vertical="center"/>
    </xf>
    <xf numFmtId="10" fontId="61" fillId="30" borderId="70" xfId="0" applyNumberFormat="1" applyFont="1" applyFill="1" applyBorder="1"/>
    <xf numFmtId="171" fontId="61" fillId="13" borderId="62" xfId="3" applyNumberFormat="1" applyFont="1" applyFill="1" applyBorder="1" applyAlignment="1">
      <alignment vertical="center"/>
    </xf>
    <xf numFmtId="0" fontId="71" fillId="30" borderId="74" xfId="0" applyFont="1" applyFill="1" applyBorder="1" applyAlignment="1">
      <alignment horizontal="center" vertical="center" wrapText="1"/>
    </xf>
    <xf numFmtId="0" fontId="0" fillId="30" borderId="35" xfId="0" applyFill="1" applyBorder="1"/>
    <xf numFmtId="10" fontId="0" fillId="30" borderId="75" xfId="0" applyNumberFormat="1" applyFill="1" applyBorder="1"/>
    <xf numFmtId="0" fontId="71" fillId="13" borderId="74" xfId="0" applyFont="1" applyFill="1" applyBorder="1" applyAlignment="1">
      <alignment horizontal="center" vertical="center" wrapText="1"/>
    </xf>
    <xf numFmtId="0" fontId="71" fillId="13" borderId="71" xfId="0" applyFont="1" applyFill="1" applyBorder="1" applyAlignment="1">
      <alignment horizontal="center" vertical="center" wrapText="1"/>
    </xf>
    <xf numFmtId="0" fontId="0" fillId="0" borderId="72" xfId="0" applyBorder="1"/>
    <xf numFmtId="0" fontId="61" fillId="30" borderId="76" xfId="0" applyFont="1" applyFill="1" applyBorder="1" applyAlignment="1">
      <alignment vertical="center"/>
    </xf>
    <xf numFmtId="0" fontId="69" fillId="13" borderId="76" xfId="0" applyFont="1" applyFill="1" applyBorder="1" applyAlignment="1">
      <alignment vertical="center"/>
    </xf>
    <xf numFmtId="0" fontId="69" fillId="30" borderId="27" xfId="0" applyFont="1" applyFill="1" applyBorder="1" applyAlignment="1">
      <alignment vertical="center"/>
    </xf>
    <xf numFmtId="0" fontId="0" fillId="30" borderId="29" xfId="0" applyFill="1" applyBorder="1"/>
    <xf numFmtId="171" fontId="69" fillId="30" borderId="27" xfId="3" applyNumberFormat="1" applyFont="1" applyFill="1" applyBorder="1" applyAlignment="1">
      <alignment vertical="center"/>
    </xf>
    <xf numFmtId="10" fontId="69" fillId="30" borderId="29" xfId="0" applyNumberFormat="1" applyFont="1" applyFill="1" applyBorder="1"/>
    <xf numFmtId="0" fontId="0" fillId="30" borderId="16" xfId="0" applyFill="1" applyBorder="1"/>
    <xf numFmtId="0" fontId="61" fillId="30" borderId="26" xfId="0" applyFont="1" applyFill="1" applyBorder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73" fillId="26" borderId="16" xfId="1" applyFont="1" applyFill="1" applyBorder="1" applyAlignment="1">
      <alignment horizontal="center" vertical="center"/>
    </xf>
    <xf numFmtId="0" fontId="73" fillId="0" borderId="0" xfId="0" applyFont="1"/>
    <xf numFmtId="0" fontId="10" fillId="0" borderId="0" xfId="0" applyFont="1" applyAlignment="1">
      <alignment horizontal="center" vertical="center"/>
    </xf>
    <xf numFmtId="0" fontId="75" fillId="26" borderId="16" xfId="1" applyFont="1" applyFill="1" applyBorder="1" applyAlignment="1">
      <alignment horizontal="center" vertical="center"/>
    </xf>
    <xf numFmtId="0" fontId="75" fillId="0" borderId="0" xfId="0" applyFont="1"/>
    <xf numFmtId="164" fontId="2" fillId="44" borderId="22" xfId="0" applyNumberFormat="1" applyFont="1" applyFill="1" applyBorder="1"/>
    <xf numFmtId="169" fontId="20" fillId="0" borderId="0" xfId="0" applyNumberFormat="1" applyFont="1"/>
    <xf numFmtId="43" fontId="0" fillId="0" borderId="0" xfId="3" applyFont="1"/>
    <xf numFmtId="174" fontId="76" fillId="54" borderId="33" xfId="0" applyNumberFormat="1" applyFont="1" applyFill="1" applyBorder="1" applyAlignment="1">
      <alignment horizontal="center" vertical="center" wrapText="1"/>
    </xf>
    <xf numFmtId="10" fontId="7" fillId="11" borderId="22" xfId="0" applyNumberFormat="1" applyFont="1" applyFill="1" applyBorder="1"/>
    <xf numFmtId="174" fontId="0" fillId="0" borderId="0" xfId="0" applyNumberFormat="1"/>
    <xf numFmtId="0" fontId="43" fillId="18" borderId="26" xfId="0" applyFont="1" applyFill="1" applyBorder="1" applyAlignment="1">
      <alignment horizontal="center" vertical="center" wrapText="1"/>
    </xf>
    <xf numFmtId="0" fontId="52" fillId="15" borderId="59" xfId="0" applyFont="1" applyFill="1" applyBorder="1" applyAlignment="1">
      <alignment vertical="center" wrapText="1"/>
    </xf>
    <xf numFmtId="0" fontId="52" fillId="15" borderId="60" xfId="0" applyFont="1" applyFill="1" applyBorder="1" applyAlignment="1">
      <alignment vertical="center" wrapText="1"/>
    </xf>
    <xf numFmtId="10" fontId="52" fillId="15" borderId="60" xfId="0" applyNumberFormat="1" applyFont="1" applyFill="1" applyBorder="1" applyAlignment="1">
      <alignment horizontal="center" vertical="center" wrapText="1"/>
    </xf>
    <xf numFmtId="4" fontId="52" fillId="15" borderId="60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9" fontId="0" fillId="0" borderId="0" xfId="0" applyNumberFormat="1"/>
    <xf numFmtId="167" fontId="20" fillId="49" borderId="22" xfId="0" applyNumberFormat="1" applyFont="1" applyFill="1" applyBorder="1"/>
    <xf numFmtId="167" fontId="18" fillId="10" borderId="22" xfId="0" applyNumberFormat="1" applyFont="1" applyFill="1" applyBorder="1"/>
    <xf numFmtId="167" fontId="6" fillId="11" borderId="22" xfId="0" applyNumberFormat="1" applyFont="1" applyFill="1" applyBorder="1"/>
    <xf numFmtId="167" fontId="6" fillId="10" borderId="22" xfId="0" applyNumberFormat="1" applyFont="1" applyFill="1" applyBorder="1"/>
    <xf numFmtId="167" fontId="6" fillId="33" borderId="22" xfId="0" applyNumberFormat="1" applyFont="1" applyFill="1" applyBorder="1"/>
    <xf numFmtId="167" fontId="20" fillId="7" borderId="22" xfId="0" applyNumberFormat="1" applyFont="1" applyFill="1" applyBorder="1"/>
    <xf numFmtId="167" fontId="20" fillId="48" borderId="22" xfId="0" applyNumberFormat="1" applyFont="1" applyFill="1" applyBorder="1"/>
    <xf numFmtId="167" fontId="2" fillId="48" borderId="22" xfId="0" applyNumberFormat="1" applyFont="1" applyFill="1" applyBorder="1"/>
    <xf numFmtId="167" fontId="20" fillId="11" borderId="22" xfId="0" applyNumberFormat="1" applyFont="1" applyFill="1" applyBorder="1"/>
    <xf numFmtId="0" fontId="40" fillId="13" borderId="30" xfId="0" applyFont="1" applyFill="1" applyBorder="1" applyAlignment="1">
      <alignment horizontal="center" vertical="center"/>
    </xf>
    <xf numFmtId="164" fontId="40" fillId="13" borderId="30" xfId="3" applyNumberFormat="1" applyFont="1" applyFill="1" applyBorder="1" applyAlignment="1" applyProtection="1">
      <alignment horizontal="center" vertical="center"/>
      <protection locked="0"/>
    </xf>
    <xf numFmtId="10" fontId="40" fillId="13" borderId="30" xfId="0" applyNumberFormat="1" applyFont="1" applyFill="1" applyBorder="1" applyAlignment="1" applyProtection="1">
      <alignment horizontal="center" vertical="center"/>
      <protection locked="0"/>
    </xf>
    <xf numFmtId="10" fontId="40" fillId="13" borderId="30" xfId="2" applyNumberFormat="1" applyFont="1" applyFill="1" applyBorder="1" applyAlignment="1" applyProtection="1">
      <alignment horizontal="center" vertical="center"/>
    </xf>
    <xf numFmtId="173" fontId="40" fillId="13" borderId="30" xfId="3" applyNumberFormat="1" applyFont="1" applyFill="1" applyBorder="1" applyAlignment="1" applyProtection="1">
      <alignment horizontal="center" vertical="center"/>
    </xf>
    <xf numFmtId="0" fontId="61" fillId="13" borderId="30" xfId="0" applyFont="1" applyFill="1" applyBorder="1" applyAlignment="1">
      <alignment horizontal="center"/>
    </xf>
    <xf numFmtId="0" fontId="79" fillId="13" borderId="32" xfId="0" applyFont="1" applyFill="1" applyBorder="1" applyAlignment="1">
      <alignment horizontal="center" vertical="center"/>
    </xf>
    <xf numFmtId="0" fontId="61" fillId="27" borderId="37" xfId="0" applyFont="1" applyFill="1" applyBorder="1" applyAlignment="1">
      <alignment horizontal="center" vertical="center"/>
    </xf>
    <xf numFmtId="0" fontId="61" fillId="27" borderId="26" xfId="0" applyFont="1" applyFill="1" applyBorder="1" applyAlignment="1">
      <alignment horizontal="left" vertical="center"/>
    </xf>
    <xf numFmtId="0" fontId="61" fillId="27" borderId="37" xfId="0" applyFont="1" applyFill="1" applyBorder="1" applyAlignment="1">
      <alignment horizontal="center" vertical="center" wrapText="1"/>
    </xf>
    <xf numFmtId="0" fontId="79" fillId="13" borderId="77" xfId="0" applyFont="1" applyFill="1" applyBorder="1" applyAlignment="1">
      <alignment horizontal="left"/>
    </xf>
    <xf numFmtId="170" fontId="40" fillId="13" borderId="78" xfId="3" applyNumberFormat="1" applyFont="1" applyFill="1" applyBorder="1" applyAlignment="1" applyProtection="1">
      <alignment horizontal="left" vertical="center" wrapText="1" indent="1"/>
      <protection locked="0"/>
    </xf>
    <xf numFmtId="0" fontId="81" fillId="13" borderId="78" xfId="0" applyFont="1" applyFill="1" applyBorder="1" applyAlignment="1">
      <alignment horizontal="center"/>
    </xf>
    <xf numFmtId="0" fontId="81" fillId="13" borderId="79" xfId="0" applyFont="1" applyFill="1" applyBorder="1" applyAlignment="1">
      <alignment horizontal="center"/>
    </xf>
    <xf numFmtId="0" fontId="81" fillId="13" borderId="30" xfId="0" applyFont="1" applyFill="1" applyBorder="1" applyAlignment="1">
      <alignment horizontal="center"/>
    </xf>
    <xf numFmtId="0" fontId="81" fillId="13" borderId="51" xfId="0" applyFont="1" applyFill="1" applyBorder="1" applyAlignment="1">
      <alignment horizontal="center"/>
    </xf>
    <xf numFmtId="170" fontId="40" fillId="13" borderId="33" xfId="3" applyNumberFormat="1" applyFont="1" applyFill="1" applyBorder="1" applyAlignment="1" applyProtection="1">
      <alignment horizontal="left" vertical="center" wrapText="1" indent="1"/>
      <protection locked="0"/>
    </xf>
    <xf numFmtId="176" fontId="40" fillId="0" borderId="33" xfId="3" applyNumberFormat="1" applyFont="1" applyBorder="1" applyAlignment="1" applyProtection="1">
      <alignment horizontal="center" vertical="center" wrapText="1"/>
    </xf>
    <xf numFmtId="0" fontId="81" fillId="13" borderId="33" xfId="0" applyFont="1" applyFill="1" applyBorder="1" applyAlignment="1">
      <alignment horizontal="center"/>
    </xf>
    <xf numFmtId="44" fontId="81" fillId="13" borderId="33" xfId="4" applyFont="1" applyFill="1" applyBorder="1" applyAlignment="1">
      <alignment horizontal="center"/>
    </xf>
    <xf numFmtId="43" fontId="81" fillId="13" borderId="69" xfId="3" applyFont="1" applyFill="1" applyBorder="1" applyAlignment="1">
      <alignment horizontal="center"/>
    </xf>
    <xf numFmtId="171" fontId="40" fillId="13" borderId="33" xfId="3" applyNumberFormat="1" applyFont="1" applyFill="1" applyBorder="1" applyAlignment="1" applyProtection="1">
      <alignment horizontal="center" vertical="center" wrapText="1"/>
      <protection locked="0"/>
    </xf>
    <xf numFmtId="171" fontId="40" fillId="13" borderId="80" xfId="3" applyNumberFormat="1" applyFont="1" applyFill="1" applyBorder="1" applyAlignment="1" applyProtection="1">
      <alignment horizontal="center" vertical="center" wrapText="1"/>
      <protection locked="0"/>
    </xf>
    <xf numFmtId="0" fontId="79" fillId="37" borderId="27" xfId="0" applyFont="1" applyFill="1" applyBorder="1" applyAlignment="1">
      <alignment horizontal="left"/>
    </xf>
    <xf numFmtId="171" fontId="79" fillId="37" borderId="28" xfId="3" applyNumberFormat="1" applyFont="1" applyFill="1" applyBorder="1" applyAlignment="1">
      <alignment horizontal="center"/>
    </xf>
    <xf numFmtId="0" fontId="79" fillId="37" borderId="28" xfId="0" applyFont="1" applyFill="1" applyBorder="1" applyAlignment="1">
      <alignment horizontal="center"/>
    </xf>
    <xf numFmtId="44" fontId="79" fillId="37" borderId="26" xfId="4" applyFont="1" applyFill="1" applyBorder="1" applyAlignment="1">
      <alignment horizontal="center"/>
    </xf>
    <xf numFmtId="0" fontId="79" fillId="13" borderId="81" xfId="0" applyFont="1" applyFill="1" applyBorder="1" applyAlignment="1">
      <alignment horizontal="left"/>
    </xf>
    <xf numFmtId="0" fontId="81" fillId="13" borderId="48" xfId="0" applyFont="1" applyFill="1" applyBorder="1" applyAlignment="1">
      <alignment horizontal="center"/>
    </xf>
    <xf numFmtId="0" fontId="81" fillId="13" borderId="49" xfId="0" applyFont="1" applyFill="1" applyBorder="1" applyAlignment="1">
      <alignment horizontal="center"/>
    </xf>
    <xf numFmtId="0" fontId="81" fillId="13" borderId="69" xfId="0" applyFont="1" applyFill="1" applyBorder="1" applyAlignment="1">
      <alignment horizontal="center"/>
    </xf>
    <xf numFmtId="1" fontId="81" fillId="13" borderId="81" xfId="0" applyNumberFormat="1" applyFont="1" applyFill="1" applyBorder="1" applyAlignment="1">
      <alignment horizontal="center"/>
    </xf>
    <xf numFmtId="0" fontId="81" fillId="13" borderId="51" xfId="0" applyFont="1" applyFill="1" applyBorder="1" applyAlignment="1">
      <alignment horizontal="left"/>
    </xf>
    <xf numFmtId="177" fontId="79" fillId="37" borderId="28" xfId="3" applyNumberFormat="1" applyFont="1" applyFill="1" applyBorder="1" applyAlignment="1">
      <alignment horizontal="center"/>
    </xf>
    <xf numFmtId="177" fontId="81" fillId="13" borderId="49" xfId="3" applyNumberFormat="1" applyFont="1" applyFill="1" applyBorder="1" applyAlignment="1">
      <alignment horizontal="center"/>
    </xf>
    <xf numFmtId="0" fontId="79" fillId="55" borderId="27" xfId="0" applyFont="1" applyFill="1" applyBorder="1" applyAlignment="1">
      <alignment horizontal="left"/>
    </xf>
    <xf numFmtId="171" fontId="79" fillId="55" borderId="28" xfId="3" applyNumberFormat="1" applyFont="1" applyFill="1" applyBorder="1" applyAlignment="1">
      <alignment horizontal="center"/>
    </xf>
    <xf numFmtId="0" fontId="79" fillId="55" borderId="28" xfId="0" applyFont="1" applyFill="1" applyBorder="1" applyAlignment="1">
      <alignment horizontal="center"/>
    </xf>
    <xf numFmtId="43" fontId="79" fillId="55" borderId="26" xfId="3" applyFont="1" applyFill="1" applyBorder="1" applyAlignment="1">
      <alignment horizontal="center"/>
    </xf>
    <xf numFmtId="0" fontId="79" fillId="55" borderId="28" xfId="0" applyFont="1" applyFill="1" applyBorder="1" applyAlignment="1">
      <alignment horizontal="left"/>
    </xf>
    <xf numFmtId="167" fontId="79" fillId="55" borderId="26" xfId="3" applyNumberFormat="1" applyFont="1" applyFill="1" applyBorder="1" applyAlignment="1">
      <alignment horizontal="center"/>
    </xf>
    <xf numFmtId="0" fontId="79" fillId="54" borderId="28" xfId="0" applyFont="1" applyFill="1" applyBorder="1" applyAlignment="1">
      <alignment horizontal="left"/>
    </xf>
    <xf numFmtId="0" fontId="79" fillId="54" borderId="27" xfId="0" applyFont="1" applyFill="1" applyBorder="1" applyAlignment="1">
      <alignment horizontal="left"/>
    </xf>
    <xf numFmtId="171" fontId="79" fillId="54" borderId="28" xfId="3" applyNumberFormat="1" applyFont="1" applyFill="1" applyBorder="1" applyAlignment="1">
      <alignment horizontal="center"/>
    </xf>
    <xf numFmtId="0" fontId="79" fillId="54" borderId="28" xfId="0" applyFont="1" applyFill="1" applyBorder="1" applyAlignment="1">
      <alignment horizontal="center"/>
    </xf>
    <xf numFmtId="43" fontId="79" fillId="54" borderId="26" xfId="3" applyFont="1" applyFill="1" applyBorder="1" applyAlignment="1">
      <alignment horizontal="center"/>
    </xf>
    <xf numFmtId="0" fontId="2" fillId="2" borderId="0" xfId="0" applyFont="1" applyFill="1"/>
    <xf numFmtId="0" fontId="84" fillId="6" borderId="82" xfId="0" applyFont="1" applyFill="1" applyBorder="1" applyAlignment="1">
      <alignment horizontal="center"/>
    </xf>
    <xf numFmtId="14" fontId="85" fillId="0" borderId="83" xfId="0" applyNumberFormat="1" applyFont="1" applyBorder="1"/>
    <xf numFmtId="0" fontId="85" fillId="0" borderId="84" xfId="0" applyFont="1" applyBorder="1"/>
    <xf numFmtId="178" fontId="85" fillId="0" borderId="84" xfId="0" applyNumberFormat="1" applyFont="1" applyBorder="1"/>
    <xf numFmtId="178" fontId="85" fillId="0" borderId="85" xfId="0" applyNumberFormat="1" applyFont="1" applyBorder="1"/>
    <xf numFmtId="14" fontId="85" fillId="0" borderId="86" xfId="0" applyNumberFormat="1" applyFont="1" applyBorder="1"/>
    <xf numFmtId="0" fontId="85" fillId="0" borderId="1" xfId="0" applyFont="1" applyBorder="1"/>
    <xf numFmtId="178" fontId="85" fillId="0" borderId="1" xfId="0" applyNumberFormat="1" applyFont="1" applyBorder="1"/>
    <xf numFmtId="178" fontId="85" fillId="0" borderId="87" xfId="0" applyNumberFormat="1" applyFont="1" applyBorder="1"/>
    <xf numFmtId="0" fontId="85" fillId="0" borderId="86" xfId="0" applyFont="1" applyBorder="1"/>
    <xf numFmtId="0" fontId="85" fillId="0" borderId="88" xfId="0" applyFont="1" applyBorder="1"/>
    <xf numFmtId="0" fontId="85" fillId="0" borderId="89" xfId="0" applyFont="1" applyBorder="1"/>
    <xf numFmtId="178" fontId="85" fillId="0" borderId="89" xfId="0" applyNumberFormat="1" applyFont="1" applyBorder="1"/>
    <xf numFmtId="0" fontId="9" fillId="6" borderId="82" xfId="0" applyFont="1" applyFill="1" applyBorder="1"/>
    <xf numFmtId="178" fontId="9" fillId="6" borderId="82" xfId="0" applyNumberFormat="1" applyFont="1" applyFill="1" applyBorder="1"/>
    <xf numFmtId="178" fontId="9" fillId="6" borderId="90" xfId="0" applyNumberFormat="1" applyFont="1" applyFill="1" applyBorder="1"/>
    <xf numFmtId="178" fontId="86" fillId="56" borderId="91" xfId="0" applyNumberFormat="1" applyFont="1" applyFill="1" applyBorder="1"/>
    <xf numFmtId="0" fontId="85" fillId="0" borderId="0" xfId="0" applyFont="1"/>
    <xf numFmtId="0" fontId="9" fillId="0" borderId="92" xfId="0" applyFont="1" applyBorder="1"/>
    <xf numFmtId="178" fontId="9" fillId="56" borderId="83" xfId="0" applyNumberFormat="1" applyFont="1" applyFill="1" applyBorder="1"/>
    <xf numFmtId="178" fontId="9" fillId="56" borderId="93" xfId="0" applyNumberFormat="1" applyFont="1" applyFill="1" applyBorder="1"/>
    <xf numFmtId="178" fontId="9" fillId="0" borderId="85" xfId="0" applyNumberFormat="1" applyFont="1" applyBorder="1"/>
    <xf numFmtId="0" fontId="9" fillId="0" borderId="94" xfId="0" applyFont="1" applyBorder="1"/>
    <xf numFmtId="178" fontId="9" fillId="0" borderId="86" xfId="0" applyNumberFormat="1" applyFont="1" applyBorder="1"/>
    <xf numFmtId="178" fontId="9" fillId="56" borderId="8" xfId="0" applyNumberFormat="1" applyFont="1" applyFill="1" applyBorder="1"/>
    <xf numFmtId="178" fontId="9" fillId="56" borderId="95" xfId="0" applyNumberFormat="1" applyFont="1" applyFill="1" applyBorder="1"/>
    <xf numFmtId="178" fontId="9" fillId="56" borderId="88" xfId="0" applyNumberFormat="1" applyFont="1" applyFill="1" applyBorder="1"/>
    <xf numFmtId="178" fontId="9" fillId="0" borderId="1" xfId="0" applyNumberFormat="1" applyFont="1" applyBorder="1"/>
    <xf numFmtId="178" fontId="9" fillId="56" borderId="96" xfId="0" applyNumberFormat="1" applyFont="1" applyFill="1" applyBorder="1"/>
    <xf numFmtId="0" fontId="9" fillId="0" borderId="97" xfId="0" applyFont="1" applyBorder="1"/>
    <xf numFmtId="178" fontId="9" fillId="56" borderId="98" xfId="0" applyNumberFormat="1" applyFont="1" applyFill="1" applyBorder="1"/>
    <xf numFmtId="178" fontId="9" fillId="56" borderId="99" xfId="0" applyNumberFormat="1" applyFont="1" applyFill="1" applyBorder="1"/>
    <xf numFmtId="178" fontId="9" fillId="0" borderId="100" xfId="0" applyNumberFormat="1" applyFont="1" applyBorder="1"/>
    <xf numFmtId="0" fontId="87" fillId="0" borderId="0" xfId="0" applyFont="1"/>
    <xf numFmtId="0" fontId="88" fillId="13" borderId="101" xfId="0" applyFont="1" applyFill="1" applyBorder="1"/>
    <xf numFmtId="164" fontId="65" fillId="13" borderId="102" xfId="3" applyNumberFormat="1" applyFont="1" applyFill="1" applyBorder="1"/>
    <xf numFmtId="0" fontId="88" fillId="13" borderId="105" xfId="0" applyFont="1" applyFill="1" applyBorder="1"/>
    <xf numFmtId="164" fontId="65" fillId="13" borderId="106" xfId="3" applyNumberFormat="1" applyFont="1" applyFill="1" applyBorder="1"/>
    <xf numFmtId="43" fontId="55" fillId="15" borderId="107" xfId="3" applyFont="1" applyFill="1" applyBorder="1"/>
    <xf numFmtId="43" fontId="55" fillId="30" borderId="109" xfId="3" applyFont="1" applyFill="1" applyBorder="1"/>
    <xf numFmtId="0" fontId="65" fillId="27" borderId="105" xfId="0" applyFont="1" applyFill="1" applyBorder="1"/>
    <xf numFmtId="164" fontId="65" fillId="13" borderId="110" xfId="3" applyNumberFormat="1" applyFont="1" applyFill="1" applyBorder="1"/>
    <xf numFmtId="43" fontId="65" fillId="30" borderId="69" xfId="3" applyFont="1" applyFill="1" applyBorder="1"/>
    <xf numFmtId="10" fontId="65" fillId="30" borderId="111" xfId="2" applyNumberFormat="1" applyFont="1" applyFill="1" applyBorder="1"/>
    <xf numFmtId="43" fontId="65" fillId="30" borderId="109" xfId="3" applyFont="1" applyFill="1" applyBorder="1"/>
    <xf numFmtId="0" fontId="88" fillId="0" borderId="105" xfId="0" applyFont="1" applyBorder="1"/>
    <xf numFmtId="43" fontId="88" fillId="30" borderId="109" xfId="3" applyFont="1" applyFill="1" applyBorder="1"/>
    <xf numFmtId="165" fontId="91" fillId="30" borderId="112" xfId="2" applyNumberFormat="1" applyFont="1" applyFill="1" applyBorder="1"/>
    <xf numFmtId="164" fontId="65" fillId="13" borderId="113" xfId="3" applyNumberFormat="1" applyFont="1" applyFill="1" applyBorder="1"/>
    <xf numFmtId="10" fontId="65" fillId="57" borderId="111" xfId="2" applyNumberFormat="1" applyFont="1" applyFill="1" applyBorder="1"/>
    <xf numFmtId="0" fontId="88" fillId="13" borderId="114" xfId="0" applyFont="1" applyFill="1" applyBorder="1"/>
    <xf numFmtId="43" fontId="88" fillId="15" borderId="109" xfId="3" applyFont="1" applyFill="1" applyBorder="1"/>
    <xf numFmtId="0" fontId="88" fillId="0" borderId="115" xfId="0" applyFont="1" applyBorder="1"/>
    <xf numFmtId="0" fontId="65" fillId="27" borderId="116" xfId="0" applyFont="1" applyFill="1" applyBorder="1"/>
    <xf numFmtId="164" fontId="65" fillId="27" borderId="117" xfId="3" applyNumberFormat="1" applyFont="1" applyFill="1" applyBorder="1"/>
    <xf numFmtId="43" fontId="65" fillId="30" borderId="118" xfId="3" applyFont="1" applyFill="1" applyBorder="1"/>
    <xf numFmtId="10" fontId="65" fillId="57" borderId="119" xfId="2" applyNumberFormat="1" applyFont="1" applyFill="1" applyBorder="1"/>
    <xf numFmtId="164" fontId="65" fillId="13" borderId="117" xfId="3" applyNumberFormat="1" applyFont="1" applyFill="1" applyBorder="1"/>
    <xf numFmtId="0" fontId="65" fillId="13" borderId="0" xfId="0" applyFont="1" applyFill="1"/>
    <xf numFmtId="164" fontId="65" fillId="13" borderId="16" xfId="3" applyNumberFormat="1" applyFont="1" applyFill="1" applyBorder="1"/>
    <xf numFmtId="43" fontId="65" fillId="13" borderId="16" xfId="3" applyFont="1" applyFill="1" applyBorder="1"/>
    <xf numFmtId="10" fontId="65" fillId="13" borderId="16" xfId="2" applyNumberFormat="1" applyFont="1" applyFill="1" applyBorder="1"/>
    <xf numFmtId="0" fontId="87" fillId="13" borderId="0" xfId="0" applyFont="1" applyFill="1"/>
    <xf numFmtId="0" fontId="87" fillId="13" borderId="0" xfId="0" applyFont="1" applyFill="1" applyAlignment="1">
      <alignment horizontal="center"/>
    </xf>
    <xf numFmtId="10" fontId="90" fillId="15" borderId="120" xfId="0" applyNumberFormat="1" applyFont="1" applyFill="1" applyBorder="1" applyAlignment="1">
      <alignment vertical="center"/>
    </xf>
    <xf numFmtId="0" fontId="65" fillId="13" borderId="121" xfId="0" applyFont="1" applyFill="1" applyBorder="1" applyAlignment="1">
      <alignment horizontal="center" vertical="center"/>
    </xf>
    <xf numFmtId="0" fontId="65" fillId="0" borderId="0" xfId="0" applyFont="1"/>
    <xf numFmtId="43" fontId="92" fillId="0" borderId="16" xfId="3" applyFont="1" applyBorder="1"/>
    <xf numFmtId="7" fontId="90" fillId="0" borderId="16" xfId="3" applyNumberFormat="1" applyFont="1" applyBorder="1"/>
    <xf numFmtId="165" fontId="65" fillId="0" borderId="0" xfId="0" applyNumberFormat="1" applyFont="1"/>
    <xf numFmtId="173" fontId="55" fillId="15" borderId="103" xfId="3" applyNumberFormat="1" applyFont="1" applyFill="1" applyBorder="1"/>
    <xf numFmtId="0" fontId="52" fillId="13" borderId="59" xfId="0" applyFont="1" applyFill="1" applyBorder="1" applyAlignment="1">
      <alignment vertical="center" wrapText="1"/>
    </xf>
    <xf numFmtId="0" fontId="52" fillId="13" borderId="60" xfId="0" applyFont="1" applyFill="1" applyBorder="1" applyAlignment="1">
      <alignment vertical="center" wrapText="1"/>
    </xf>
    <xf numFmtId="10" fontId="52" fillId="13" borderId="60" xfId="0" applyNumberFormat="1" applyFont="1" applyFill="1" applyBorder="1" applyAlignment="1">
      <alignment horizontal="center" vertical="center" wrapText="1"/>
    </xf>
    <xf numFmtId="4" fontId="52" fillId="13" borderId="60" xfId="0" applyNumberFormat="1" applyFont="1" applyFill="1" applyBorder="1" applyAlignment="1">
      <alignment horizontal="center" vertical="center" wrapText="1"/>
    </xf>
    <xf numFmtId="173" fontId="55" fillId="30" borderId="103" xfId="3" applyNumberFormat="1" applyFont="1" applyFill="1" applyBorder="1"/>
    <xf numFmtId="173" fontId="29" fillId="15" borderId="0" xfId="3" applyNumberFormat="1" applyFont="1" applyFill="1"/>
    <xf numFmtId="0" fontId="32" fillId="13" borderId="33" xfId="0" applyFont="1" applyFill="1" applyBorder="1" applyAlignment="1">
      <alignment horizontal="left" vertical="center" wrapText="1"/>
    </xf>
    <xf numFmtId="10" fontId="32" fillId="27" borderId="33" xfId="2" applyNumberFormat="1" applyFont="1" applyFill="1" applyBorder="1" applyAlignment="1" applyProtection="1">
      <alignment horizontal="center" vertical="center" wrapText="1"/>
      <protection locked="0"/>
    </xf>
    <xf numFmtId="43" fontId="29" fillId="0" borderId="0" xfId="0" applyNumberFormat="1" applyFont="1"/>
    <xf numFmtId="43" fontId="1" fillId="0" borderId="0" xfId="3" applyFont="1"/>
    <xf numFmtId="0" fontId="95" fillId="0" borderId="0" xfId="0" applyFont="1" applyAlignment="1">
      <alignment horizontal="center"/>
    </xf>
    <xf numFmtId="0" fontId="95" fillId="0" borderId="16" xfId="0" applyFont="1" applyBorder="1" applyAlignment="1">
      <alignment horizontal="center"/>
    </xf>
    <xf numFmtId="173" fontId="94" fillId="0" borderId="0" xfId="3" applyNumberFormat="1" applyFont="1"/>
    <xf numFmtId="10" fontId="94" fillId="0" borderId="0" xfId="0" applyNumberFormat="1" applyFont="1"/>
    <xf numFmtId="43" fontId="94" fillId="0" borderId="0" xfId="0" applyNumberFormat="1" applyFont="1"/>
    <xf numFmtId="4" fontId="94" fillId="0" borderId="0" xfId="0" applyNumberFormat="1" applyFont="1"/>
    <xf numFmtId="10" fontId="94" fillId="15" borderId="0" xfId="2" applyNumberFormat="1" applyFont="1" applyFill="1"/>
    <xf numFmtId="0" fontId="96" fillId="7" borderId="21" xfId="0" applyFont="1" applyFill="1" applyBorder="1"/>
    <xf numFmtId="0" fontId="2" fillId="29" borderId="16" xfId="0" applyFont="1" applyFill="1" applyBorder="1"/>
    <xf numFmtId="0" fontId="7" fillId="29" borderId="16" xfId="0" applyFont="1" applyFill="1" applyBorder="1"/>
    <xf numFmtId="173" fontId="2" fillId="29" borderId="16" xfId="3" applyNumberFormat="1" applyFont="1" applyFill="1" applyBorder="1"/>
    <xf numFmtId="169" fontId="7" fillId="29" borderId="16" xfId="0" applyNumberFormat="1" applyFont="1" applyFill="1" applyBorder="1"/>
    <xf numFmtId="165" fontId="2" fillId="29" borderId="16" xfId="0" applyNumberFormat="1" applyFont="1" applyFill="1" applyBorder="1"/>
    <xf numFmtId="43" fontId="97" fillId="13" borderId="16" xfId="3" applyFont="1" applyFill="1" applyBorder="1"/>
    <xf numFmtId="43" fontId="98" fillId="13" borderId="16" xfId="3" applyFont="1" applyFill="1" applyBorder="1"/>
    <xf numFmtId="0" fontId="99" fillId="16" borderId="26" xfId="0" applyFont="1" applyFill="1" applyBorder="1" applyAlignment="1">
      <alignment horizontal="center" vertical="center"/>
    </xf>
    <xf numFmtId="0" fontId="1" fillId="13" borderId="33" xfId="0" applyFont="1" applyFill="1" applyBorder="1" applyAlignment="1">
      <alignment horizontal="left" vertical="center" wrapText="1"/>
    </xf>
    <xf numFmtId="165" fontId="0" fillId="0" borderId="0" xfId="2" applyNumberFormat="1" applyFont="1"/>
    <xf numFmtId="43" fontId="90" fillId="58" borderId="109" xfId="3" applyFont="1" applyFill="1" applyBorder="1"/>
    <xf numFmtId="43" fontId="88" fillId="58" borderId="109" xfId="3" applyFont="1" applyFill="1" applyBorder="1"/>
    <xf numFmtId="173" fontId="90" fillId="58" borderId="103" xfId="3" applyNumberFormat="1" applyFont="1" applyFill="1" applyBorder="1"/>
    <xf numFmtId="179" fontId="65" fillId="57" borderId="119" xfId="2" applyNumberFormat="1" applyFont="1" applyFill="1" applyBorder="1"/>
    <xf numFmtId="10" fontId="55" fillId="15" borderId="112" xfId="2" applyNumberFormat="1" applyFont="1" applyFill="1" applyBorder="1"/>
    <xf numFmtId="165" fontId="65" fillId="13" borderId="112" xfId="2" applyNumberFormat="1" applyFont="1" applyFill="1" applyBorder="1"/>
    <xf numFmtId="10" fontId="65" fillId="13" borderId="112" xfId="2" applyNumberFormat="1" applyFont="1" applyFill="1" applyBorder="1"/>
    <xf numFmtId="10" fontId="88" fillId="15" borderId="112" xfId="2" applyNumberFormat="1" applyFont="1" applyFill="1" applyBorder="1"/>
    <xf numFmtId="10" fontId="91" fillId="30" borderId="112" xfId="2" applyNumberFormat="1" applyFont="1" applyFill="1" applyBorder="1"/>
    <xf numFmtId="10" fontId="90" fillId="58" borderId="112" xfId="2" applyNumberFormat="1" applyFont="1" applyFill="1" applyBorder="1"/>
    <xf numFmtId="10" fontId="90" fillId="13" borderId="112" xfId="3" applyNumberFormat="1" applyFont="1" applyFill="1" applyBorder="1"/>
    <xf numFmtId="168" fontId="17" fillId="59" borderId="1" xfId="0" applyNumberFormat="1" applyFont="1" applyFill="1" applyBorder="1"/>
    <xf numFmtId="168" fontId="16" fillId="59" borderId="1" xfId="0" applyNumberFormat="1" applyFont="1" applyFill="1" applyBorder="1"/>
    <xf numFmtId="0" fontId="73" fillId="14" borderId="16" xfId="1" applyFont="1" applyFill="1" applyBorder="1" applyAlignment="1">
      <alignment horizontal="center" vertical="center"/>
    </xf>
    <xf numFmtId="0" fontId="30" fillId="14" borderId="16" xfId="1" applyFont="1" applyFill="1" applyBorder="1" applyAlignment="1">
      <alignment horizontal="center" vertical="center"/>
    </xf>
    <xf numFmtId="0" fontId="82" fillId="14" borderId="16" xfId="1" applyFont="1" applyFill="1" applyBorder="1" applyAlignment="1">
      <alignment horizontal="center" vertical="center"/>
    </xf>
    <xf numFmtId="0" fontId="1" fillId="0" borderId="0" xfId="0" applyFont="1"/>
    <xf numFmtId="10" fontId="66" fillId="15" borderId="109" xfId="0" applyNumberFormat="1" applyFont="1" applyFill="1" applyBorder="1" applyAlignment="1">
      <alignment horizontal="right" vertical="center"/>
    </xf>
    <xf numFmtId="10" fontId="66" fillId="15" borderId="109" xfId="2" applyNumberFormat="1" applyFont="1" applyFill="1" applyBorder="1" applyAlignment="1">
      <alignment horizontal="right" vertical="center"/>
    </xf>
    <xf numFmtId="10" fontId="70" fillId="30" borderId="109" xfId="0" applyNumberFormat="1" applyFont="1" applyFill="1" applyBorder="1"/>
    <xf numFmtId="10" fontId="29" fillId="30" borderId="109" xfId="0" applyNumberFormat="1" applyFont="1" applyFill="1" applyBorder="1"/>
    <xf numFmtId="10" fontId="1" fillId="13" borderId="38" xfId="2" applyNumberFormat="1" applyFont="1" applyFill="1" applyBorder="1"/>
    <xf numFmtId="10" fontId="1" fillId="19" borderId="38" xfId="2" applyNumberFormat="1" applyFont="1" applyFill="1" applyBorder="1"/>
    <xf numFmtId="10" fontId="1" fillId="52" borderId="26" xfId="2" applyNumberFormat="1" applyFont="1" applyFill="1" applyBorder="1"/>
    <xf numFmtId="173" fontId="1" fillId="13" borderId="16" xfId="3" applyNumberFormat="1" applyFont="1" applyFill="1" applyBorder="1" applyAlignment="1">
      <alignment horizontal="center" vertical="center"/>
    </xf>
    <xf numFmtId="10" fontId="40" fillId="13" borderId="109" xfId="2" applyNumberFormat="1" applyFont="1" applyFill="1" applyBorder="1" applyAlignment="1" applyProtection="1">
      <alignment horizontal="center" vertical="center"/>
      <protection locked="0"/>
    </xf>
    <xf numFmtId="164" fontId="40" fillId="13" borderId="109" xfId="3" applyNumberFormat="1" applyFont="1" applyFill="1" applyBorder="1" applyAlignment="1" applyProtection="1">
      <alignment horizontal="center" vertical="center"/>
      <protection locked="0"/>
    </xf>
    <xf numFmtId="170" fontId="40" fillId="19" borderId="109" xfId="3" applyNumberFormat="1" applyFont="1" applyFill="1" applyBorder="1" applyAlignment="1" applyProtection="1">
      <alignment horizontal="center" vertical="center" wrapText="1"/>
    </xf>
    <xf numFmtId="10" fontId="40" fillId="13" borderId="109" xfId="0" applyNumberFormat="1" applyFont="1" applyFill="1" applyBorder="1" applyAlignment="1" applyProtection="1">
      <alignment horizontal="center" vertical="center"/>
      <protection locked="0"/>
    </xf>
    <xf numFmtId="173" fontId="40" fillId="13" borderId="109" xfId="3" applyNumberFormat="1" applyFont="1" applyFill="1" applyBorder="1" applyAlignment="1" applyProtection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166" fontId="14" fillId="5" borderId="17" xfId="0" applyNumberFormat="1" applyFont="1" applyFill="1" applyBorder="1" applyAlignment="1">
      <alignment horizontal="center"/>
    </xf>
    <xf numFmtId="166" fontId="11" fillId="3" borderId="17" xfId="0" applyNumberFormat="1" applyFont="1" applyFill="1" applyBorder="1" applyAlignment="1">
      <alignment horizontal="center"/>
    </xf>
    <xf numFmtId="0" fontId="13" fillId="5" borderId="17" xfId="0" applyFont="1" applyFill="1" applyBorder="1" applyAlignment="1">
      <alignment horizontal="center"/>
    </xf>
    <xf numFmtId="0" fontId="16" fillId="3" borderId="9" xfId="0" applyFont="1" applyFill="1" applyBorder="1"/>
    <xf numFmtId="0" fontId="12" fillId="2" borderId="16" xfId="0" applyFont="1" applyFill="1" applyBorder="1" applyAlignment="1">
      <alignment vertical="center"/>
    </xf>
    <xf numFmtId="0" fontId="13" fillId="5" borderId="17" xfId="0" applyFont="1" applyFill="1" applyBorder="1"/>
    <xf numFmtId="166" fontId="13" fillId="5" borderId="17" xfId="0" applyNumberFormat="1" applyFont="1" applyFill="1" applyBorder="1" applyAlignment="1">
      <alignment horizontal="center"/>
    </xf>
    <xf numFmtId="166" fontId="7" fillId="3" borderId="17" xfId="0" applyNumberFormat="1" applyFont="1" applyFill="1" applyBorder="1" applyAlignment="1">
      <alignment horizontal="center"/>
    </xf>
    <xf numFmtId="0" fontId="7" fillId="11" borderId="16" xfId="0" applyFont="1" applyFill="1" applyBorder="1"/>
    <xf numFmtId="165" fontId="2" fillId="11" borderId="16" xfId="0" applyNumberFormat="1" applyFont="1" applyFill="1" applyBorder="1"/>
    <xf numFmtId="169" fontId="7" fillId="11" borderId="16" xfId="0" applyNumberFormat="1" applyFont="1" applyFill="1" applyBorder="1"/>
    <xf numFmtId="0" fontId="2" fillId="11" borderId="16" xfId="0" applyFont="1" applyFill="1" applyBorder="1"/>
    <xf numFmtId="10" fontId="1" fillId="0" borderId="0" xfId="2" applyNumberFormat="1" applyFont="1"/>
    <xf numFmtId="0" fontId="13" fillId="12" borderId="16" xfId="0" applyFont="1" applyFill="1" applyBorder="1" applyAlignment="1">
      <alignment horizontal="center"/>
    </xf>
    <xf numFmtId="171" fontId="56" fillId="13" borderId="122" xfId="3" applyNumberFormat="1" applyFont="1" applyFill="1" applyBorder="1" applyAlignment="1" applyProtection="1">
      <alignment horizontal="right" vertical="center"/>
      <protection locked="0"/>
    </xf>
    <xf numFmtId="170" fontId="40" fillId="13" borderId="123" xfId="3" applyNumberFormat="1" applyFont="1" applyFill="1" applyBorder="1" applyAlignment="1" applyProtection="1">
      <alignment horizontal="left" vertical="center" wrapText="1" indent="1"/>
      <protection locked="0"/>
    </xf>
    <xf numFmtId="171" fontId="40" fillId="13" borderId="123" xfId="3" applyNumberFormat="1" applyFont="1" applyFill="1" applyBorder="1" applyAlignment="1" applyProtection="1">
      <alignment horizontal="center" vertical="center" wrapText="1"/>
    </xf>
    <xf numFmtId="172" fontId="40" fillId="13" borderId="123" xfId="3" applyNumberFormat="1" applyFont="1" applyFill="1" applyBorder="1" applyAlignment="1" applyProtection="1">
      <alignment horizontal="center" vertical="center"/>
    </xf>
    <xf numFmtId="0" fontId="40" fillId="13" borderId="123" xfId="0" applyFont="1" applyFill="1" applyBorder="1" applyAlignment="1" applyProtection="1">
      <alignment horizontal="center" vertical="center"/>
      <protection locked="0"/>
    </xf>
    <xf numFmtId="171" fontId="40" fillId="0" borderId="123" xfId="3" applyNumberFormat="1" applyFont="1" applyBorder="1" applyAlignment="1" applyProtection="1">
      <alignment horizontal="center" vertical="center" wrapText="1"/>
    </xf>
    <xf numFmtId="172" fontId="40" fillId="0" borderId="123" xfId="3" applyNumberFormat="1" applyFont="1" applyFill="1" applyBorder="1" applyAlignment="1" applyProtection="1">
      <alignment horizontal="center" vertical="center"/>
    </xf>
    <xf numFmtId="173" fontId="40" fillId="0" borderId="123" xfId="3" applyNumberFormat="1" applyFont="1" applyFill="1" applyBorder="1" applyAlignment="1" applyProtection="1">
      <alignment horizontal="center" vertical="center"/>
    </xf>
    <xf numFmtId="171" fontId="40" fillId="13" borderId="122" xfId="3" applyNumberFormat="1" applyFont="1" applyFill="1" applyBorder="1" applyAlignment="1" applyProtection="1">
      <alignment horizontal="right" vertical="center"/>
      <protection locked="0"/>
    </xf>
    <xf numFmtId="171" fontId="40" fillId="13" borderId="123" xfId="3" applyNumberFormat="1" applyFont="1" applyFill="1" applyBorder="1" applyAlignment="1" applyProtection="1">
      <alignment horizontal="center" vertical="center" wrapText="1"/>
      <protection locked="0"/>
    </xf>
    <xf numFmtId="172" fontId="40" fillId="13" borderId="123" xfId="3" applyNumberFormat="1" applyFont="1" applyFill="1" applyBorder="1" applyAlignment="1" applyProtection="1">
      <alignment horizontal="center" vertical="center"/>
      <protection locked="0"/>
    </xf>
    <xf numFmtId="170" fontId="40" fillId="13" borderId="124" xfId="3" applyNumberFormat="1" applyFont="1" applyFill="1" applyBorder="1" applyAlignment="1" applyProtection="1">
      <alignment horizontal="left" vertical="center" wrapText="1" indent="1"/>
      <protection locked="0"/>
    </xf>
    <xf numFmtId="171" fontId="40" fillId="13" borderId="124" xfId="3" applyNumberFormat="1" applyFont="1" applyFill="1" applyBorder="1" applyAlignment="1" applyProtection="1">
      <alignment horizontal="center" vertical="center" wrapText="1"/>
      <protection locked="0"/>
    </xf>
    <xf numFmtId="170" fontId="40" fillId="19" borderId="125" xfId="3" applyNumberFormat="1" applyFont="1" applyFill="1" applyBorder="1" applyAlignment="1" applyProtection="1">
      <alignment horizontal="center" vertical="center" wrapText="1"/>
    </xf>
    <xf numFmtId="170" fontId="40" fillId="13" borderId="125" xfId="3" applyNumberFormat="1" applyFont="1" applyFill="1" applyBorder="1" applyAlignment="1" applyProtection="1">
      <alignment horizontal="left" vertical="center" wrapText="1" indent="1"/>
      <protection locked="0"/>
    </xf>
    <xf numFmtId="171" fontId="40" fillId="13" borderId="125" xfId="3" applyNumberFormat="1" applyFont="1" applyFill="1" applyBorder="1" applyAlignment="1" applyProtection="1">
      <alignment horizontal="center" vertical="center" wrapText="1"/>
      <protection locked="0"/>
    </xf>
    <xf numFmtId="172" fontId="40" fillId="13" borderId="125" xfId="3" applyNumberFormat="1" applyFont="1" applyFill="1" applyBorder="1" applyAlignment="1" applyProtection="1">
      <alignment horizontal="center" vertical="center"/>
      <protection locked="0"/>
    </xf>
    <xf numFmtId="0" fontId="40" fillId="13" borderId="125" xfId="0" applyFont="1" applyFill="1" applyBorder="1" applyAlignment="1" applyProtection="1">
      <alignment horizontal="center" vertical="center"/>
      <protection locked="0"/>
    </xf>
    <xf numFmtId="10" fontId="40" fillId="13" borderId="125" xfId="2" applyNumberFormat="1" applyFont="1" applyFill="1" applyBorder="1" applyAlignment="1" applyProtection="1">
      <alignment horizontal="center" vertical="center"/>
      <protection locked="0"/>
    </xf>
    <xf numFmtId="164" fontId="40" fillId="13" borderId="125" xfId="3" applyNumberFormat="1" applyFont="1" applyFill="1" applyBorder="1" applyAlignment="1" applyProtection="1">
      <alignment horizontal="center" vertical="center"/>
      <protection locked="0"/>
    </xf>
    <xf numFmtId="10" fontId="40" fillId="13" borderId="125" xfId="0" applyNumberFormat="1" applyFont="1" applyFill="1" applyBorder="1" applyAlignment="1" applyProtection="1">
      <alignment horizontal="center" vertical="center"/>
      <protection locked="0"/>
    </xf>
    <xf numFmtId="171" fontId="40" fillId="13" borderId="126" xfId="3" applyNumberFormat="1" applyFont="1" applyFill="1" applyBorder="1" applyAlignment="1" applyProtection="1">
      <alignment horizontal="right" vertical="center"/>
      <protection locked="0"/>
    </xf>
    <xf numFmtId="0" fontId="89" fillId="13" borderId="104" xfId="0" applyFont="1" applyFill="1" applyBorder="1" applyAlignment="1">
      <alignment horizontal="center" vertical="center"/>
    </xf>
    <xf numFmtId="0" fontId="89" fillId="13" borderId="108" xfId="0" applyFont="1" applyFill="1" applyBorder="1" applyAlignment="1">
      <alignment horizontal="center" vertical="center"/>
    </xf>
    <xf numFmtId="43" fontId="90" fillId="15" borderId="57" xfId="3" applyFont="1" applyFill="1" applyBorder="1" applyAlignment="1">
      <alignment horizontal="center" vertical="center"/>
    </xf>
    <xf numFmtId="43" fontId="90" fillId="15" borderId="58" xfId="3" applyFont="1" applyFill="1" applyBorder="1" applyAlignment="1">
      <alignment horizontal="center" vertical="center"/>
    </xf>
    <xf numFmtId="0" fontId="83" fillId="2" borderId="0" xfId="0" applyFont="1" applyFill="1" applyAlignment="1">
      <alignment horizontal="center"/>
    </xf>
    <xf numFmtId="0" fontId="3" fillId="0" borderId="0" xfId="0" applyFont="1" applyAlignment="1"/>
    <xf numFmtId="0" fontId="67" fillId="30" borderId="27" xfId="0" applyFont="1" applyFill="1" applyBorder="1" applyAlignment="1">
      <alignment horizontal="left" vertical="center"/>
    </xf>
    <xf numFmtId="0" fontId="67" fillId="30" borderId="28" xfId="0" applyFont="1" applyFill="1" applyBorder="1" applyAlignment="1">
      <alignment horizontal="left" vertical="center"/>
    </xf>
    <xf numFmtId="0" fontId="67" fillId="30" borderId="42" xfId="0" applyFont="1" applyFill="1" applyBorder="1" applyAlignment="1">
      <alignment horizontal="left" vertical="center"/>
    </xf>
    <xf numFmtId="0" fontId="71" fillId="30" borderId="74" xfId="0" applyFont="1" applyFill="1" applyBorder="1" applyAlignment="1">
      <alignment horizontal="left" vertical="center" wrapText="1"/>
    </xf>
    <xf numFmtId="0" fontId="71" fillId="30" borderId="35" xfId="0" applyFont="1" applyFill="1" applyBorder="1" applyAlignment="1">
      <alignment horizontal="left" vertical="center" wrapText="1"/>
    </xf>
    <xf numFmtId="0" fontId="71" fillId="30" borderId="75" xfId="0" applyFont="1" applyFill="1" applyBorder="1" applyAlignment="1">
      <alignment horizontal="left" vertical="center" wrapText="1"/>
    </xf>
    <xf numFmtId="0" fontId="65" fillId="30" borderId="27" xfId="0" applyFont="1" applyFill="1" applyBorder="1" applyAlignment="1">
      <alignment horizontal="left" vertical="center" wrapText="1"/>
    </xf>
    <xf numFmtId="0" fontId="65" fillId="30" borderId="28" xfId="0" applyFont="1" applyFill="1" applyBorder="1" applyAlignment="1">
      <alignment horizontal="left" vertical="center" wrapText="1"/>
    </xf>
    <xf numFmtId="0" fontId="65" fillId="30" borderId="29" xfId="0" applyFont="1" applyFill="1" applyBorder="1" applyAlignment="1">
      <alignment horizontal="left" vertical="center" wrapText="1"/>
    </xf>
    <xf numFmtId="0" fontId="63" fillId="0" borderId="63" xfId="0" applyFont="1" applyBorder="1" applyAlignment="1">
      <alignment horizontal="center" vertical="center"/>
    </xf>
    <xf numFmtId="0" fontId="63" fillId="0" borderId="64" xfId="0" applyFont="1" applyBorder="1" applyAlignment="1">
      <alignment horizontal="center" vertical="center"/>
    </xf>
    <xf numFmtId="0" fontId="63" fillId="0" borderId="65" xfId="0" applyFont="1" applyBorder="1" applyAlignment="1">
      <alignment horizontal="center" vertical="center"/>
    </xf>
    <xf numFmtId="0" fontId="55" fillId="30" borderId="37" xfId="0" applyFont="1" applyFill="1" applyBorder="1" applyAlignment="1">
      <alignment horizontal="right" vertical="center"/>
    </xf>
    <xf numFmtId="0" fontId="55" fillId="15" borderId="37" xfId="0" applyFont="1" applyFill="1" applyBorder="1" applyAlignment="1">
      <alignment horizontal="center" vertical="center"/>
    </xf>
    <xf numFmtId="0" fontId="55" fillId="15" borderId="26" xfId="0" applyFont="1" applyFill="1" applyBorder="1" applyAlignment="1">
      <alignment horizontal="center" vertical="center"/>
    </xf>
    <xf numFmtId="0" fontId="55" fillId="30" borderId="26" xfId="0" applyFont="1" applyFill="1" applyBorder="1" applyAlignment="1">
      <alignment horizontal="right" vertical="center"/>
    </xf>
    <xf numFmtId="0" fontId="65" fillId="13" borderId="27" xfId="0" applyFont="1" applyFill="1" applyBorder="1" applyAlignment="1">
      <alignment horizontal="center" vertical="center" wrapText="1"/>
    </xf>
    <xf numFmtId="0" fontId="65" fillId="13" borderId="28" xfId="0" applyFont="1" applyFill="1" applyBorder="1" applyAlignment="1">
      <alignment horizontal="center" vertical="center" wrapText="1"/>
    </xf>
    <xf numFmtId="0" fontId="65" fillId="13" borderId="29" xfId="0" applyFont="1" applyFill="1" applyBorder="1" applyAlignment="1">
      <alignment horizontal="center" vertical="center" wrapText="1"/>
    </xf>
    <xf numFmtId="0" fontId="58" fillId="53" borderId="62" xfId="0" applyFont="1" applyFill="1" applyBorder="1" applyAlignment="1">
      <alignment horizontal="center"/>
    </xf>
    <xf numFmtId="0" fontId="58" fillId="53" borderId="0" xfId="0" applyFont="1" applyFill="1" applyAlignment="1">
      <alignment horizontal="center"/>
    </xf>
    <xf numFmtId="0" fontId="61" fillId="54" borderId="33" xfId="0" applyFont="1" applyFill="1" applyBorder="1" applyAlignment="1">
      <alignment vertical="center" wrapText="1"/>
    </xf>
    <xf numFmtId="0" fontId="29" fillId="54" borderId="33" xfId="0" applyFont="1" applyFill="1" applyBorder="1" applyAlignment="1">
      <alignment horizontal="center"/>
    </xf>
    <xf numFmtId="0" fontId="58" fillId="16" borderId="53" xfId="0" applyFont="1" applyFill="1" applyBorder="1" applyAlignment="1">
      <alignment horizontal="center"/>
    </xf>
    <xf numFmtId="0" fontId="58" fillId="16" borderId="42" xfId="0" applyFont="1" applyFill="1" applyBorder="1" applyAlignment="1">
      <alignment horizontal="center"/>
    </xf>
    <xf numFmtId="0" fontId="52" fillId="0" borderId="57" xfId="0" applyFont="1" applyBorder="1" applyAlignment="1">
      <alignment horizontal="center" vertical="center" wrapText="1"/>
    </xf>
    <xf numFmtId="0" fontId="52" fillId="0" borderId="58" xfId="0" applyFont="1" applyBorder="1" applyAlignment="1">
      <alignment horizontal="center" vertical="center" wrapText="1"/>
    </xf>
    <xf numFmtId="0" fontId="21" fillId="21" borderId="27" xfId="0" applyFont="1" applyFill="1" applyBorder="1" applyAlignment="1">
      <alignment horizontal="center"/>
    </xf>
    <xf numFmtId="0" fontId="21" fillId="21" borderId="28" xfId="0" applyFont="1" applyFill="1" applyBorder="1" applyAlignment="1">
      <alignment horizontal="center"/>
    </xf>
    <xf numFmtId="0" fontId="21" fillId="21" borderId="29" xfId="0" applyFont="1" applyFill="1" applyBorder="1" applyAlignment="1">
      <alignment horizontal="center"/>
    </xf>
    <xf numFmtId="0" fontId="23" fillId="21" borderId="27" xfId="0" applyFont="1" applyFill="1" applyBorder="1" applyAlignment="1">
      <alignment horizontal="center"/>
    </xf>
    <xf numFmtId="0" fontId="23" fillId="21" borderId="28" xfId="0" applyFont="1" applyFill="1" applyBorder="1" applyAlignment="1">
      <alignment horizontal="center"/>
    </xf>
    <xf numFmtId="0" fontId="35" fillId="16" borderId="27" xfId="0" applyFont="1" applyFill="1" applyBorder="1" applyAlignment="1">
      <alignment horizontal="center"/>
    </xf>
    <xf numFmtId="0" fontId="35" fillId="16" borderId="28" xfId="0" applyFont="1" applyFill="1" applyBorder="1" applyAlignment="1">
      <alignment horizontal="center"/>
    </xf>
    <xf numFmtId="0" fontId="35" fillId="16" borderId="29" xfId="0" applyFont="1" applyFill="1" applyBorder="1" applyAlignment="1">
      <alignment horizontal="center"/>
    </xf>
    <xf numFmtId="0" fontId="28" fillId="13" borderId="67" xfId="1" applyFill="1" applyBorder="1" applyAlignment="1">
      <alignment horizontal="left" vertical="center"/>
    </xf>
    <xf numFmtId="0" fontId="28" fillId="13" borderId="68" xfId="1" applyFill="1" applyBorder="1" applyAlignment="1">
      <alignment horizontal="left" vertical="center"/>
    </xf>
    <xf numFmtId="0" fontId="61" fillId="13" borderId="67" xfId="0" applyFont="1" applyFill="1" applyBorder="1" applyAlignment="1">
      <alignment horizontal="center" vertical="center" wrapText="1"/>
    </xf>
    <xf numFmtId="0" fontId="61" fillId="13" borderId="43" xfId="0" applyFont="1" applyFill="1" applyBorder="1" applyAlignment="1">
      <alignment horizontal="center" vertical="center" wrapText="1"/>
    </xf>
    <xf numFmtId="0" fontId="61" fillId="13" borderId="68" xfId="0" applyFont="1" applyFill="1" applyBorder="1" applyAlignment="1">
      <alignment horizontal="center" vertical="center" wrapText="1"/>
    </xf>
    <xf numFmtId="0" fontId="79" fillId="13" borderId="71" xfId="0" applyFont="1" applyFill="1" applyBorder="1" applyAlignment="1">
      <alignment horizontal="left" vertical="center"/>
    </xf>
    <xf numFmtId="0" fontId="79" fillId="13" borderId="73" xfId="0" applyFont="1" applyFill="1" applyBorder="1" applyAlignment="1">
      <alignment horizontal="left" vertical="center"/>
    </xf>
    <xf numFmtId="0" fontId="61" fillId="13" borderId="71" xfId="0" applyFont="1" applyFill="1" applyBorder="1" applyAlignment="1">
      <alignment horizontal="center" vertical="center" wrapText="1"/>
    </xf>
    <xf numFmtId="0" fontId="61" fillId="13" borderId="72" xfId="0" applyFont="1" applyFill="1" applyBorder="1" applyAlignment="1">
      <alignment horizontal="center" vertical="center" wrapText="1"/>
    </xf>
    <xf numFmtId="0" fontId="61" fillId="13" borderId="73" xfId="0" applyFont="1" applyFill="1" applyBorder="1" applyAlignment="1">
      <alignment horizontal="center" vertical="center" wrapText="1"/>
    </xf>
    <xf numFmtId="17" fontId="14" fillId="5" borderId="3" xfId="0" applyNumberFormat="1" applyFont="1" applyFill="1" applyBorder="1" applyAlignment="1">
      <alignment horizontal="center"/>
    </xf>
    <xf numFmtId="0" fontId="3" fillId="0" borderId="4" xfId="0" applyFont="1" applyBorder="1" applyAlignment="1"/>
    <xf numFmtId="0" fontId="14" fillId="5" borderId="3" xfId="0" applyFont="1" applyFill="1" applyBorder="1" applyAlignment="1">
      <alignment horizontal="center"/>
    </xf>
    <xf numFmtId="0" fontId="3" fillId="0" borderId="5" xfId="0" applyFont="1" applyBorder="1" applyAlignment="1"/>
    <xf numFmtId="0" fontId="8" fillId="2" borderId="16" xfId="0" applyFont="1" applyFill="1" applyBorder="1" applyAlignment="1">
      <alignment horizontal="center" vertical="center"/>
    </xf>
    <xf numFmtId="0" fontId="3" fillId="0" borderId="16" xfId="0" applyFont="1" applyBorder="1" applyAlignment="1"/>
    <xf numFmtId="0" fontId="13" fillId="5" borderId="2" xfId="0" applyFont="1" applyFill="1" applyBorder="1" applyAlignment="1">
      <alignment horizontal="center" vertical="center" wrapText="1"/>
    </xf>
    <xf numFmtId="0" fontId="3" fillId="0" borderId="6" xfId="0" applyFont="1" applyBorder="1" applyAlignment="1"/>
    <xf numFmtId="17" fontId="77" fillId="5" borderId="11" xfId="0" applyNumberFormat="1" applyFont="1" applyFill="1" applyBorder="1" applyAlignment="1">
      <alignment horizontal="center"/>
    </xf>
    <xf numFmtId="0" fontId="78" fillId="0" borderId="12" xfId="0" applyFont="1" applyBorder="1" applyAlignment="1"/>
    <xf numFmtId="0" fontId="7" fillId="5" borderId="13" xfId="0" applyFont="1" applyFill="1" applyBorder="1" applyAlignment="1">
      <alignment horizontal="center"/>
    </xf>
    <xf numFmtId="0" fontId="2" fillId="0" borderId="14" xfId="0" applyFont="1" applyBorder="1" applyAlignment="1"/>
    <xf numFmtId="0" fontId="2" fillId="0" borderId="15" xfId="0" applyFont="1" applyBorder="1" applyAlignment="1"/>
    <xf numFmtId="0" fontId="13" fillId="5" borderId="16" xfId="0" applyFont="1" applyFill="1" applyBorder="1" applyAlignment="1">
      <alignment horizontal="left" vertical="center"/>
    </xf>
    <xf numFmtId="0" fontId="93" fillId="0" borderId="16" xfId="0" applyFont="1" applyBorder="1" applyAlignment="1"/>
    <xf numFmtId="0" fontId="93" fillId="0" borderId="18" xfId="0" applyFont="1" applyBorder="1" applyAlignment="1"/>
  </cellXfs>
  <cellStyles count="5">
    <cellStyle name="Hiperlink" xfId="1" builtinId="8"/>
    <cellStyle name="Moeda" xfId="4" builtinId="4"/>
    <cellStyle name="Normal" xfId="0" builtinId="0"/>
    <cellStyle name="Porcentagem" xfId="2" builtinId="5"/>
    <cellStyle name="Vírgula" xfId="3" builtinId="3"/>
  </cellStyles>
  <dxfs count="0"/>
  <tableStyles count="0" defaultTableStyle="TableStyleMedium2" defaultPivotStyle="PivotStyleLight16"/>
  <colors>
    <mruColors>
      <color rgb="FFFFFF66"/>
      <color rgb="FFFFFF99"/>
      <color rgb="FFFFCC66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Apresenta&#231;&#227;o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Apresenta&#231;&#227;o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Apresenta&#231;&#227;o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Apresenta&#231;&#227;o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Apresenta&#231;&#227;o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Apresenta&#231;&#227;o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Apresenta&#231;&#227;o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Apresenta&#231;&#227;o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Apresenta&#231;&#227;o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Apresenta&#231;&#227;o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Apresenta&#231;&#227;o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Apresenta&#231;&#227;o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Apresenta&#231;&#227;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114301</xdr:colOff>
      <xdr:row>0</xdr:row>
      <xdr:rowOff>47626</xdr:rowOff>
    </xdr:from>
    <xdr:to>
      <xdr:col>6</xdr:col>
      <xdr:colOff>38100</xdr:colOff>
      <xdr:row>2</xdr:row>
      <xdr:rowOff>1</xdr:rowOff>
    </xdr:to>
    <xdr:sp macro="" textlink="">
      <xdr:nvSpPr>
        <xdr:cNvPr id="6149" name="Text Box 5">
          <a:extLst>
            <a:ext uri="{FF2B5EF4-FFF2-40B4-BE49-F238E27FC236}">
              <a16:creationId xmlns:a16="http://schemas.microsoft.com/office/drawing/2014/main" id="{EF252BD7-5935-5360-4CB0-EDB8DBF6E0EF}"/>
            </a:ext>
          </a:extLst>
        </xdr:cNvPr>
        <xdr:cNvSpPr txBox="1">
          <a:spLocks noChangeArrowheads="1"/>
        </xdr:cNvSpPr>
      </xdr:nvSpPr>
      <xdr:spPr bwMode="auto">
        <a:xfrm>
          <a:off x="3181351" y="47626"/>
          <a:ext cx="6334124" cy="676275"/>
        </a:xfrm>
        <a:prstGeom prst="rect">
          <a:avLst/>
        </a:prstGeom>
        <a:solidFill>
          <a:srgbClr val="00206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ctr" upright="1"/>
        <a:lstStyle/>
        <a:p>
          <a:pPr algn="ctr" rtl="0" eaLnBrk="1" fontAlgn="base" hangingPunct="1"/>
          <a:r>
            <a:rPr lang="pt-BR" sz="20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Planejamento Econômico</a:t>
          </a:r>
          <a:r>
            <a:rPr lang="pt-BR" sz="2000" b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Financeiro</a:t>
          </a:r>
          <a:endParaRPr lang="pt-BR" sz="3600">
            <a:solidFill>
              <a:schemeClr val="bg1"/>
            </a:solidFill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180475</xdr:colOff>
      <xdr:row>0</xdr:row>
      <xdr:rowOff>57150</xdr:rowOff>
    </xdr:from>
    <xdr:to>
      <xdr:col>11</xdr:col>
      <xdr:colOff>1</xdr:colOff>
      <xdr:row>32</xdr:row>
      <xdr:rowOff>167640</xdr:rowOff>
    </xdr:to>
    <xdr:grpSp>
      <xdr:nvGrpSpPr>
        <xdr:cNvPr id="2" name="Grupo 8">
          <a:extLst>
            <a:ext uri="{FF2B5EF4-FFF2-40B4-BE49-F238E27FC236}">
              <a16:creationId xmlns:a16="http://schemas.microsoft.com/office/drawing/2014/main" id="{2A3B6F97-4BDE-43A5-83A1-25514F1B8D49}"/>
            </a:ext>
          </a:extLst>
        </xdr:cNvPr>
        <xdr:cNvGrpSpPr/>
      </xdr:nvGrpSpPr>
      <xdr:grpSpPr>
        <a:xfrm>
          <a:off x="180475" y="57150"/>
          <a:ext cx="10571346" cy="7715250"/>
          <a:chOff x="161671" y="60960"/>
          <a:chExt cx="11832210" cy="5797359"/>
        </a:xfrm>
      </xdr:grpSpPr>
      <xdr:sp macro="" textlink="">
        <xdr:nvSpPr>
          <xdr:cNvPr id="3" name="Retângulo de cantos arredondados 1">
            <a:extLst>
              <a:ext uri="{FF2B5EF4-FFF2-40B4-BE49-F238E27FC236}">
                <a16:creationId xmlns:a16="http://schemas.microsoft.com/office/drawing/2014/main" id="{3EC8BB29-0E98-C76E-8A4E-B9BE46775A99}"/>
              </a:ext>
            </a:extLst>
          </xdr:cNvPr>
          <xdr:cNvSpPr/>
        </xdr:nvSpPr>
        <xdr:spPr>
          <a:xfrm>
            <a:off x="313353" y="68580"/>
            <a:ext cx="2894666" cy="381000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EMPRESA</a:t>
            </a:r>
          </a:p>
        </xdr:txBody>
      </xdr:sp>
      <xdr:sp macro="" textlink="">
        <xdr:nvSpPr>
          <xdr:cNvPr id="4" name="Retângulo de cantos arredondados 2">
            <a:extLst>
              <a:ext uri="{FF2B5EF4-FFF2-40B4-BE49-F238E27FC236}">
                <a16:creationId xmlns:a16="http://schemas.microsoft.com/office/drawing/2014/main" id="{2644301F-9920-BD34-C1E3-69266FC48D69}"/>
              </a:ext>
            </a:extLst>
          </xdr:cNvPr>
          <xdr:cNvSpPr/>
        </xdr:nvSpPr>
        <xdr:spPr>
          <a:xfrm>
            <a:off x="3337560" y="60960"/>
            <a:ext cx="8656320" cy="381000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Entra21 2026</a:t>
            </a:r>
          </a:p>
        </xdr:txBody>
      </xdr:sp>
      <xdr:sp macro="" textlink="">
        <xdr:nvSpPr>
          <xdr:cNvPr id="5" name="Retângulo de cantos arredondados 3">
            <a:extLst>
              <a:ext uri="{FF2B5EF4-FFF2-40B4-BE49-F238E27FC236}">
                <a16:creationId xmlns:a16="http://schemas.microsoft.com/office/drawing/2014/main" id="{5BB29CE0-D7B0-CCFA-F43A-22C5CEB2EAD4}"/>
              </a:ext>
            </a:extLst>
          </xdr:cNvPr>
          <xdr:cNvSpPr/>
        </xdr:nvSpPr>
        <xdr:spPr>
          <a:xfrm>
            <a:off x="267125" y="502920"/>
            <a:ext cx="11726756" cy="381000"/>
          </a:xfrm>
          <a:prstGeom prst="roundRect">
            <a:avLst/>
          </a:prstGeom>
          <a:solidFill>
            <a:srgbClr val="00206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b="1">
                <a:solidFill>
                  <a:schemeClr val="bg1"/>
                </a:solidFill>
              </a:rPr>
              <a:t>ANÁLISE</a:t>
            </a:r>
            <a:r>
              <a:rPr lang="pt-BR" sz="1600" b="1" baseline="0">
                <a:solidFill>
                  <a:schemeClr val="bg1"/>
                </a:solidFill>
              </a:rPr>
              <a:t> DOS RESULTADOS</a:t>
            </a:r>
            <a:endParaRPr lang="pt-BR" sz="1600" b="1">
              <a:solidFill>
                <a:schemeClr val="bg1"/>
              </a:solidFill>
            </a:endParaRPr>
          </a:p>
        </xdr:txBody>
      </xdr:sp>
      <xdr:sp macro="" textlink="">
        <xdr:nvSpPr>
          <xdr:cNvPr id="6" name="Retângulo de cantos arredondados 4">
            <a:extLst>
              <a:ext uri="{FF2B5EF4-FFF2-40B4-BE49-F238E27FC236}">
                <a16:creationId xmlns:a16="http://schemas.microsoft.com/office/drawing/2014/main" id="{0508BFBC-5BC7-45F0-84EB-FCF0ED6A7E75}"/>
              </a:ext>
            </a:extLst>
          </xdr:cNvPr>
          <xdr:cNvSpPr/>
        </xdr:nvSpPr>
        <xdr:spPr>
          <a:xfrm>
            <a:off x="251714" y="937260"/>
            <a:ext cx="3508299" cy="381000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DESCRIÇÃO</a:t>
            </a:r>
          </a:p>
        </xdr:txBody>
      </xdr:sp>
      <xdr:sp macro="" textlink="">
        <xdr:nvSpPr>
          <xdr:cNvPr id="7" name="Retângulo de cantos arredondados 5">
            <a:extLst>
              <a:ext uri="{FF2B5EF4-FFF2-40B4-BE49-F238E27FC236}">
                <a16:creationId xmlns:a16="http://schemas.microsoft.com/office/drawing/2014/main" id="{CA40340D-7035-188E-9019-2086E8B36ECF}"/>
              </a:ext>
            </a:extLst>
          </xdr:cNvPr>
          <xdr:cNvSpPr/>
        </xdr:nvSpPr>
        <xdr:spPr>
          <a:xfrm>
            <a:off x="3805757" y="937260"/>
            <a:ext cx="2662283" cy="381000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SITUAÇÃO ATUAL</a:t>
            </a:r>
          </a:p>
        </xdr:txBody>
      </xdr:sp>
      <xdr:sp macro="" textlink="">
        <xdr:nvSpPr>
          <xdr:cNvPr id="8" name="Retângulo de cantos arredondados 6">
            <a:extLst>
              <a:ext uri="{FF2B5EF4-FFF2-40B4-BE49-F238E27FC236}">
                <a16:creationId xmlns:a16="http://schemas.microsoft.com/office/drawing/2014/main" id="{D20176B3-7E39-A613-6C54-83CF6B6C6C21}"/>
              </a:ext>
            </a:extLst>
          </xdr:cNvPr>
          <xdr:cNvSpPr/>
        </xdr:nvSpPr>
        <xdr:spPr>
          <a:xfrm>
            <a:off x="6532082" y="937260"/>
            <a:ext cx="2772068" cy="381000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PONTO DE EQUILIBRIO ECONÔMICO</a:t>
            </a:r>
          </a:p>
        </xdr:txBody>
      </xdr:sp>
      <xdr:sp macro="" textlink="">
        <xdr:nvSpPr>
          <xdr:cNvPr id="9" name="Retângulo de cantos arredondados 9">
            <a:extLst>
              <a:ext uri="{FF2B5EF4-FFF2-40B4-BE49-F238E27FC236}">
                <a16:creationId xmlns:a16="http://schemas.microsoft.com/office/drawing/2014/main" id="{BBC1F0C2-8AF9-168B-A200-382BF05FB6FC}"/>
              </a:ext>
            </a:extLst>
          </xdr:cNvPr>
          <xdr:cNvSpPr/>
        </xdr:nvSpPr>
        <xdr:spPr>
          <a:xfrm>
            <a:off x="6912845" y="4201401"/>
            <a:ext cx="5013960" cy="281940"/>
          </a:xfrm>
          <a:prstGeom prst="roundRect">
            <a:avLst/>
          </a:prstGeom>
          <a:solidFill>
            <a:srgbClr val="00206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bg1"/>
                </a:solidFill>
              </a:rPr>
              <a:t>PLANO DE AÇÃO</a:t>
            </a:r>
          </a:p>
        </xdr:txBody>
      </xdr:sp>
      <xdr:sp macro="" textlink="">
        <xdr:nvSpPr>
          <xdr:cNvPr id="10" name="Retângulo de cantos arredondados 10">
            <a:extLst>
              <a:ext uri="{FF2B5EF4-FFF2-40B4-BE49-F238E27FC236}">
                <a16:creationId xmlns:a16="http://schemas.microsoft.com/office/drawing/2014/main" id="{16D38E1C-F134-DA81-A20E-A5EF9319ED56}"/>
              </a:ext>
            </a:extLst>
          </xdr:cNvPr>
          <xdr:cNvSpPr/>
        </xdr:nvSpPr>
        <xdr:spPr>
          <a:xfrm>
            <a:off x="6931142" y="4574278"/>
            <a:ext cx="5036820" cy="1188720"/>
          </a:xfrm>
          <a:prstGeom prst="round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600" b="0">
              <a:solidFill>
                <a:schemeClr val="tx1"/>
              </a:solidFill>
            </a:endParaRPr>
          </a:p>
        </xdr:txBody>
      </xdr:sp>
      <xdr:sp macro="" textlink="">
        <xdr:nvSpPr>
          <xdr:cNvPr id="11" name="Retângulo de cantos arredondados 13">
            <a:extLst>
              <a:ext uri="{FF2B5EF4-FFF2-40B4-BE49-F238E27FC236}">
                <a16:creationId xmlns:a16="http://schemas.microsoft.com/office/drawing/2014/main" id="{BAB18436-4E0C-F174-C3E3-A507920B4DF0}"/>
              </a:ext>
            </a:extLst>
          </xdr:cNvPr>
          <xdr:cNvSpPr/>
        </xdr:nvSpPr>
        <xdr:spPr>
          <a:xfrm>
            <a:off x="9349894" y="937260"/>
            <a:ext cx="2643987" cy="381000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b="1">
                <a:solidFill>
                  <a:schemeClr val="tx1"/>
                </a:solidFill>
              </a:rPr>
              <a:t>PROPOSTA</a:t>
            </a:r>
          </a:p>
        </xdr:txBody>
      </xdr:sp>
      <xdr:sp macro="" textlink="">
        <xdr:nvSpPr>
          <xdr:cNvPr id="12" name="Retângulo de cantos arredondados 14">
            <a:extLst>
              <a:ext uri="{FF2B5EF4-FFF2-40B4-BE49-F238E27FC236}">
                <a16:creationId xmlns:a16="http://schemas.microsoft.com/office/drawing/2014/main" id="{CCB71E26-4FFE-5EB8-9335-CA03E9B04671}"/>
              </a:ext>
            </a:extLst>
          </xdr:cNvPr>
          <xdr:cNvSpPr/>
        </xdr:nvSpPr>
        <xdr:spPr>
          <a:xfrm>
            <a:off x="161671" y="3794042"/>
            <a:ext cx="6591131" cy="381000"/>
          </a:xfrm>
          <a:prstGeom prst="roundRect">
            <a:avLst/>
          </a:prstGeom>
          <a:solidFill>
            <a:srgbClr val="00206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b="1">
                <a:solidFill>
                  <a:schemeClr val="bg1"/>
                </a:solidFill>
              </a:rPr>
              <a:t>INSTRUÇÕES DE PREENCHIMENTO</a:t>
            </a:r>
          </a:p>
        </xdr:txBody>
      </xdr:sp>
      <xdr:sp macro="" textlink="">
        <xdr:nvSpPr>
          <xdr:cNvPr id="13" name="Retângulo de cantos arredondados 15">
            <a:extLst>
              <a:ext uri="{FF2B5EF4-FFF2-40B4-BE49-F238E27FC236}">
                <a16:creationId xmlns:a16="http://schemas.microsoft.com/office/drawing/2014/main" id="{907B1EB3-2FCC-AC98-E66E-067901E184D2}"/>
              </a:ext>
            </a:extLst>
          </xdr:cNvPr>
          <xdr:cNvSpPr/>
        </xdr:nvSpPr>
        <xdr:spPr>
          <a:xfrm>
            <a:off x="237748" y="4235259"/>
            <a:ext cx="6522721" cy="1623060"/>
          </a:xfrm>
          <a:prstGeom prst="round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200" b="1" baseline="0">
                <a:solidFill>
                  <a:schemeClr val="tx1"/>
                </a:solidFill>
              </a:rPr>
              <a:t>ATENÇÃO: Preencher apenas os campos em amarelo da Situação Atual </a:t>
            </a:r>
          </a:p>
          <a:p>
            <a:pPr algn="l"/>
            <a:r>
              <a:rPr lang="pt-BR" sz="1200" b="0" baseline="0">
                <a:solidFill>
                  <a:schemeClr val="tx1"/>
                </a:solidFill>
              </a:rPr>
              <a:t>Informar o percentual médio de imposto sobre a venda (%).</a:t>
            </a:r>
          </a:p>
          <a:p>
            <a:pPr algn="l"/>
            <a:r>
              <a:rPr lang="pt-BR" sz="1200" b="0" baseline="0">
                <a:solidFill>
                  <a:schemeClr val="tx1"/>
                </a:solidFill>
              </a:rPr>
              <a:t>Informar  quanto representa em percentual o custo da mercadoria sobre as vendas.</a:t>
            </a:r>
          </a:p>
          <a:p>
            <a:pPr algn="l"/>
            <a:r>
              <a:rPr lang="pt-BR" sz="1200" b="0" baseline="0">
                <a:solidFill>
                  <a:schemeClr val="tx1"/>
                </a:solidFill>
              </a:rPr>
              <a:t>Informar quanto representa o custo da mão de obra em percentual sobre  as vendas.</a:t>
            </a:r>
          </a:p>
          <a:p>
            <a:pPr algn="l"/>
            <a:r>
              <a:rPr lang="pt-BR" sz="1200" b="0" baseline="0">
                <a:solidFill>
                  <a:schemeClr val="tx1"/>
                </a:solidFill>
              </a:rPr>
              <a:t>Caso pague comissões e fretes sobre as vendas, informar o percentual sobre as vendas.</a:t>
            </a:r>
          </a:p>
          <a:p>
            <a:pPr algn="l"/>
            <a:r>
              <a:rPr lang="pt-BR" sz="1200" b="0" baseline="0">
                <a:solidFill>
                  <a:schemeClr val="tx1"/>
                </a:solidFill>
              </a:rPr>
              <a:t>Informar o montante dos gastos fixos mensais em R$.</a:t>
            </a:r>
          </a:p>
          <a:p>
            <a:pPr algn="l"/>
            <a:r>
              <a:rPr lang="pt-BR" sz="1200" b="0" baseline="0">
                <a:solidFill>
                  <a:schemeClr val="tx1"/>
                </a:solidFill>
              </a:rPr>
              <a:t>Informar o percentual de Lucro desejado e percentual (%) ou valor em R$.</a:t>
            </a:r>
          </a:p>
          <a:p>
            <a:pPr algn="l"/>
            <a:endParaRPr lang="pt-BR" sz="1600" b="0">
              <a:solidFill>
                <a:schemeClr val="tx1"/>
              </a:solidFill>
            </a:endParaRPr>
          </a:p>
        </xdr:txBody>
      </xdr:sp>
      <xdr:sp macro="" textlink="">
        <xdr:nvSpPr>
          <xdr:cNvPr id="14" name="Retângulo de cantos arredondados 16">
            <a:extLst>
              <a:ext uri="{FF2B5EF4-FFF2-40B4-BE49-F238E27FC236}">
                <a16:creationId xmlns:a16="http://schemas.microsoft.com/office/drawing/2014/main" id="{1E5CD867-1BA0-A834-66DF-F6F0B8377A56}"/>
              </a:ext>
            </a:extLst>
          </xdr:cNvPr>
          <xdr:cNvSpPr/>
        </xdr:nvSpPr>
        <xdr:spPr>
          <a:xfrm>
            <a:off x="6914374" y="3807533"/>
            <a:ext cx="1508761" cy="327660"/>
          </a:xfrm>
          <a:prstGeom prst="roundRect">
            <a:avLst/>
          </a:prstGeom>
          <a:solidFill>
            <a:srgbClr val="00206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200" b="1">
                <a:solidFill>
                  <a:schemeClr val="bg1"/>
                </a:solidFill>
              </a:rPr>
              <a:t>LUCRO DESEJADO</a:t>
            </a:r>
          </a:p>
        </xdr:txBody>
      </xdr:sp>
    </xdr:grpSp>
    <xdr:clientData/>
  </xdr:twoCellAnchor>
  <xdr:oneCellAnchor>
    <xdr:from>
      <xdr:col>12</xdr:col>
      <xdr:colOff>0</xdr:colOff>
      <xdr:row>0</xdr:row>
      <xdr:rowOff>0</xdr:rowOff>
    </xdr:from>
    <xdr:ext cx="438150" cy="438150"/>
    <xdr:pic>
      <xdr:nvPicPr>
        <xdr:cNvPr id="29" name="image2.png" descr="Atualizar RT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442BEF-583E-4DFA-85B7-1588E43FCA5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645140" y="0"/>
          <a:ext cx="438150" cy="4381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438150" cy="438150"/>
    <xdr:pic>
      <xdr:nvPicPr>
        <xdr:cNvPr id="2" name="image2.png" descr="Atualizar RT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F554CC-AFAF-4CDA-B949-EFB7FF0A487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254240" y="297180"/>
          <a:ext cx="438150" cy="43815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438150" cy="438150"/>
    <xdr:pic>
      <xdr:nvPicPr>
        <xdr:cNvPr id="2" name="image2.png" descr="Atualizar RT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2F1F23-C15B-463B-8E62-F552C1B742E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48700" y="0"/>
          <a:ext cx="438150" cy="43815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38150" cy="438150"/>
    <xdr:pic>
      <xdr:nvPicPr>
        <xdr:cNvPr id="2" name="image2.png" descr="Atualizar RT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2EB159-D1F8-44F0-AF2C-DA8EFBFA349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353175" y="0"/>
          <a:ext cx="438150" cy="43815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438150" cy="438150"/>
    <xdr:pic>
      <xdr:nvPicPr>
        <xdr:cNvPr id="2" name="image2.png" descr="Atualizar RT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575929-00D6-46F2-8AB5-C4310186FE7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553200" y="0"/>
          <a:ext cx="438150" cy="43815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438150" cy="438150"/>
    <xdr:pic>
      <xdr:nvPicPr>
        <xdr:cNvPr id="2" name="image2.png" descr="Atualizar RT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FFF57B-8E6D-42DD-93E2-47B43035405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72175" y="0"/>
          <a:ext cx="438150" cy="43815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438150" cy="438150"/>
    <xdr:pic>
      <xdr:nvPicPr>
        <xdr:cNvPr id="2" name="image2.png" descr="Atualizar RT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AF0EDC-6AD1-4482-AAAE-E4CD2FE78ED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191250" y="0"/>
          <a:ext cx="438150" cy="43815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0</xdr:row>
      <xdr:rowOff>0</xdr:rowOff>
    </xdr:from>
    <xdr:ext cx="438150" cy="438150"/>
    <xdr:pic>
      <xdr:nvPicPr>
        <xdr:cNvPr id="2" name="image2.png" descr="Atualizar RT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B9855D-E912-4206-A0F4-5D94A3B5EBE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363200" y="0"/>
          <a:ext cx="438150" cy="438150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609600</xdr:colOff>
      <xdr:row>0</xdr:row>
      <xdr:rowOff>0</xdr:rowOff>
    </xdr:from>
    <xdr:ext cx="438150" cy="438150"/>
    <xdr:pic>
      <xdr:nvPicPr>
        <xdr:cNvPr id="2" name="image2.png" descr="Atualizar RT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8679AA-4CBD-4B74-8482-1CADAF511BD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19200" y="0"/>
          <a:ext cx="438150" cy="438150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38150" cy="438150"/>
    <xdr:pic>
      <xdr:nvPicPr>
        <xdr:cNvPr id="3" name="image2.png" descr="Atualizar RT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88DD1D-5EEA-4C03-B826-5E46B4A15DB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143750" y="0"/>
          <a:ext cx="438150" cy="438150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28575</xdr:rowOff>
    </xdr:from>
    <xdr:ext cx="438150" cy="438150"/>
    <xdr:pic>
      <xdr:nvPicPr>
        <xdr:cNvPr id="2" name="image2.png" descr="Atualizar RT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0</xdr:rowOff>
    </xdr:from>
    <xdr:ext cx="438150" cy="438150"/>
    <xdr:pic>
      <xdr:nvPicPr>
        <xdr:cNvPr id="2" name="image2.png" descr="Atualizar RT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38150" cy="438150"/>
    <xdr:pic>
      <xdr:nvPicPr>
        <xdr:cNvPr id="2" name="image2.png" descr="Atualizar RT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ntrole%20de%20Estoque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csc754.sharepoint.com/Users/User/Desktop/BACKUP%2006_03_24/SENAC%20LUCRA%20MAIS%202025/Gest&#227;o%20de%20Custos%20em%20Branc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necedores"/>
      <sheetName val="Clientes"/>
      <sheetName val="Unidades"/>
      <sheetName val="Locais de Estocagem"/>
      <sheetName val=" Itens de Estoque"/>
      <sheetName val="Entradas"/>
      <sheetName val="Saídas"/>
      <sheetName val="Controle de Estoqu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ício"/>
      <sheetName val="UEP"/>
      <sheetName val="CUSTEIO ABC"/>
      <sheetName val="Custo Volume e Lucro"/>
      <sheetName val="TABELA MEI"/>
      <sheetName val="Capital de Giro"/>
      <sheetName val="SIMPLES"/>
      <sheetName val="Naturezas de Gastos"/>
      <sheetName val="Custo MOD CIF"/>
      <sheetName val="Margem de Contribuição"/>
      <sheetName val="Ficha Técnica de Custo"/>
      <sheetName val="Otimização Mix"/>
      <sheetName val="Estrutura dos CC"/>
      <sheetName val="Materiais"/>
      <sheetName val="Encargos Sociais Trabalhistas"/>
      <sheetName val="Mark-up"/>
      <sheetName val="Simulador de Preços"/>
      <sheetName val="Prova Real"/>
      <sheetName val="Tabela de Preços"/>
      <sheetName val="Ponto de Equilibr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B3">
            <v>120</v>
          </cell>
          <cell r="C3">
            <v>121</v>
          </cell>
          <cell r="D3">
            <v>122</v>
          </cell>
          <cell r="E3">
            <v>123</v>
          </cell>
          <cell r="F3">
            <v>124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</row>
      </sheetData>
      <sheetData sheetId="9"/>
      <sheetData sheetId="10"/>
      <sheetData sheetId="11"/>
      <sheetData sheetId="12"/>
      <sheetData sheetId="13">
        <row r="4">
          <cell r="B4">
            <v>0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s://www.contabeis.com.br/tributario/icms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00"/>
  </sheetPr>
  <dimension ref="A1:Z991"/>
  <sheetViews>
    <sheetView showGridLines="0" zoomScaleNormal="100" workbookViewId="0">
      <selection activeCell="F10" sqref="F10"/>
    </sheetView>
  </sheetViews>
  <sheetFormatPr defaultColWidth="14.44140625" defaultRowHeight="15" customHeight="1" x14ac:dyDescent="0.3"/>
  <cols>
    <col min="1" max="1" width="3.109375" customWidth="1"/>
    <col min="2" max="2" width="42.88671875" customWidth="1"/>
    <col min="3" max="3" width="2" customWidth="1"/>
    <col min="4" max="4" width="51.88671875" customWidth="1"/>
    <col min="5" max="5" width="2" customWidth="1"/>
    <col min="6" max="6" width="40.33203125" customWidth="1"/>
    <col min="7" max="26" width="8" customWidth="1"/>
  </cols>
  <sheetData>
    <row r="1" spans="1:26" ht="6.7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0.25" customHeight="1" x14ac:dyDescent="0.3">
      <c r="A2" s="1" t="s">
        <v>0</v>
      </c>
      <c r="B2" s="475" t="s">
        <v>1</v>
      </c>
      <c r="C2" s="1"/>
      <c r="D2" s="1"/>
      <c r="E2" s="1"/>
    </row>
    <row r="3" spans="1:26" ht="6.75" customHeight="1" x14ac:dyDescent="0.3">
      <c r="B3" s="1"/>
      <c r="C3" s="1"/>
      <c r="D3" s="23"/>
      <c r="E3" s="1"/>
    </row>
    <row r="4" spans="1:26" ht="33.75" customHeight="1" x14ac:dyDescent="0.3">
      <c r="A4" s="62"/>
      <c r="B4" s="491" t="s">
        <v>2</v>
      </c>
      <c r="C4" s="303"/>
      <c r="D4" s="491" t="s">
        <v>3</v>
      </c>
      <c r="E4" s="64"/>
      <c r="F4" s="492" t="s">
        <v>4</v>
      </c>
    </row>
    <row r="5" spans="1:26" ht="3" customHeight="1" x14ac:dyDescent="0.3">
      <c r="A5" s="62"/>
      <c r="B5" s="303"/>
      <c r="C5" s="303"/>
      <c r="D5" s="303"/>
      <c r="E5" s="64"/>
      <c r="F5" s="65"/>
    </row>
    <row r="6" spans="1:26" ht="31.5" customHeight="1" x14ac:dyDescent="0.3">
      <c r="A6" s="62"/>
      <c r="B6" s="491" t="s">
        <v>5</v>
      </c>
      <c r="C6" s="304"/>
      <c r="D6" s="305" t="s">
        <v>6</v>
      </c>
      <c r="E6" s="64"/>
      <c r="F6" s="492" t="s">
        <v>7</v>
      </c>
      <c r="G6" s="66"/>
    </row>
    <row r="7" spans="1:26" ht="3" customHeight="1" x14ac:dyDescent="0.45">
      <c r="A7" s="62"/>
      <c r="B7" s="303"/>
      <c r="C7" s="303"/>
      <c r="D7" s="306"/>
      <c r="E7" s="64"/>
      <c r="F7" s="63"/>
      <c r="G7" s="66"/>
    </row>
    <row r="8" spans="1:26" ht="33" customHeight="1" x14ac:dyDescent="0.3">
      <c r="A8" s="62"/>
      <c r="B8" s="491" t="s">
        <v>8</v>
      </c>
      <c r="C8" s="303"/>
      <c r="D8" s="305" t="s">
        <v>9</v>
      </c>
      <c r="E8" s="64"/>
      <c r="F8" s="493" t="s">
        <v>10</v>
      </c>
      <c r="G8" s="66"/>
    </row>
    <row r="9" spans="1:26" ht="3.75" customHeight="1" x14ac:dyDescent="0.4">
      <c r="A9" s="62"/>
      <c r="B9" s="157"/>
      <c r="C9" s="307"/>
      <c r="D9" s="494"/>
      <c r="E9" s="64"/>
      <c r="F9" s="63"/>
      <c r="G9" s="66"/>
    </row>
    <row r="10" spans="1:26" ht="32.25" customHeight="1" x14ac:dyDescent="0.3">
      <c r="A10" s="62"/>
      <c r="B10" s="308" t="s">
        <v>11</v>
      </c>
      <c r="C10" s="307"/>
      <c r="D10" s="308" t="s">
        <v>12</v>
      </c>
      <c r="E10" s="64"/>
      <c r="F10" s="493" t="s">
        <v>13</v>
      </c>
      <c r="G10" s="66"/>
    </row>
    <row r="11" spans="1:26" ht="3.75" customHeight="1" x14ac:dyDescent="0.4">
      <c r="A11" s="62"/>
      <c r="B11" s="309"/>
      <c r="C11" s="307"/>
      <c r="D11" s="494"/>
      <c r="E11" s="64"/>
    </row>
    <row r="12" spans="1:26" ht="31.5" customHeight="1" x14ac:dyDescent="0.3">
      <c r="A12" s="62"/>
      <c r="C12" s="307"/>
      <c r="D12" s="494"/>
      <c r="E12" s="64"/>
      <c r="F12" s="493" t="s">
        <v>14</v>
      </c>
    </row>
    <row r="13" spans="1:26" ht="3.75" customHeight="1" x14ac:dyDescent="0.4">
      <c r="A13" s="62"/>
      <c r="B13" s="82"/>
      <c r="C13" s="63"/>
      <c r="E13" s="64"/>
    </row>
    <row r="14" spans="1:26" ht="5.25" customHeight="1" x14ac:dyDescent="0.3"/>
    <row r="15" spans="1:26" ht="15.75" customHeight="1" x14ac:dyDescent="0.3"/>
    <row r="16" spans="1:26" ht="15.75" customHeight="1" x14ac:dyDescent="0.35">
      <c r="D16" s="2"/>
    </row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</sheetData>
  <hyperlinks>
    <hyperlink ref="B4" location="Parametrização!A1" display="Parametrização"/>
    <hyperlink ref="F4" location="'DRE  PREVISTO'!A1" display="DRE - PREVISTO"/>
    <hyperlink ref="F6" location="'Fluxo de Caixa Mensal'!A1" display="Fluxo de Caixa Mensal "/>
    <hyperlink ref="B6" location="'Analise do Preço de Compras'!A1" display="Análise do Preço de Compras"/>
    <hyperlink ref="D10" location="MEI!A1" display="TABELA DO MEI - 2023"/>
    <hyperlink ref="B10" location="SIMPLES!A1" display="SIMPLES"/>
    <hyperlink ref="B8" location="'Encargos '!A1" display="Encargos Sociais Trabalhistas"/>
    <hyperlink ref="D4" location="Markup!A1" display="Markup"/>
    <hyperlink ref="D6" location="Simulador!A1" display="Simulador"/>
    <hyperlink ref="D8" location="'Distribuição do Recebimento'!A1" display="Distribuição do Recebimento"/>
    <hyperlink ref="F8" location="'Ficha Técnica'!A1" display="Ficha Técnica"/>
    <hyperlink ref="F10" location="'Ponto de Equilibrio'!A1" display="Ponto de Equilibrio"/>
    <hyperlink ref="F12" location="'Movimento de Caixa'!A1" display="Movimento de Caixa"/>
  </hyperlink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showGridLines="0" tabSelected="1" workbookViewId="0">
      <selection activeCell="M9" sqref="M9"/>
    </sheetView>
  </sheetViews>
  <sheetFormatPr defaultRowHeight="14.4" x14ac:dyDescent="0.3"/>
  <cols>
    <col min="1" max="1" width="3.44140625" customWidth="1"/>
    <col min="2" max="2" width="43.33203125" customWidth="1"/>
    <col min="3" max="3" width="9.109375" bestFit="1" customWidth="1"/>
    <col min="4" max="4" width="14.6640625" customWidth="1"/>
    <col min="5" max="5" width="19.109375" customWidth="1"/>
    <col min="7" max="7" width="16.5546875" customWidth="1"/>
    <col min="10" max="10" width="15" customWidth="1"/>
    <col min="13" max="13" width="15.88671875" customWidth="1"/>
  </cols>
  <sheetData>
    <row r="1" spans="1:14" ht="83.4" customHeight="1" x14ac:dyDescent="0.3">
      <c r="A1" s="412" t="s">
        <v>354</v>
      </c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</row>
    <row r="2" spans="1:14" ht="49.2" customHeight="1" x14ac:dyDescent="0.3">
      <c r="A2" s="412"/>
      <c r="B2" s="412"/>
      <c r="C2" s="412"/>
      <c r="D2" s="412"/>
      <c r="E2" s="412"/>
      <c r="F2" s="412"/>
      <c r="G2" s="412"/>
      <c r="H2" s="412"/>
      <c r="I2" s="412"/>
      <c r="J2" s="412"/>
      <c r="K2" s="412"/>
      <c r="L2" s="412"/>
      <c r="M2" s="412"/>
      <c r="N2" s="412"/>
    </row>
    <row r="3" spans="1:14" ht="7.95" customHeight="1" thickBot="1" x14ac:dyDescent="0.35">
      <c r="A3" s="412"/>
      <c r="B3" s="412"/>
      <c r="C3" s="412"/>
      <c r="D3" s="412"/>
      <c r="E3" s="412"/>
      <c r="F3" s="412"/>
      <c r="G3" s="412"/>
      <c r="H3" s="412"/>
      <c r="I3" s="412"/>
      <c r="J3" s="412"/>
      <c r="K3" s="412"/>
      <c r="L3" s="412"/>
      <c r="M3" s="412"/>
      <c r="N3" s="412"/>
    </row>
    <row r="4" spans="1:14" ht="16.2" thickTop="1" x14ac:dyDescent="0.3">
      <c r="A4" s="412"/>
      <c r="B4" s="413" t="s">
        <v>15</v>
      </c>
      <c r="C4" s="414" t="s">
        <v>0</v>
      </c>
      <c r="D4" s="449">
        <f>'DRE  PREVISTO'!AA7</f>
        <v>59500</v>
      </c>
      <c r="E4" s="545" t="s">
        <v>16</v>
      </c>
      <c r="F4" s="414" t="s">
        <v>0</v>
      </c>
      <c r="G4" s="454">
        <f>IFERROR((G6/G5),0)</f>
        <v>90186.48913429302</v>
      </c>
      <c r="H4" s="545" t="s">
        <v>16</v>
      </c>
      <c r="I4" s="414" t="s">
        <v>0</v>
      </c>
      <c r="J4" s="480">
        <v>0</v>
      </c>
      <c r="K4" s="545" t="s">
        <v>16</v>
      </c>
      <c r="L4" s="412"/>
      <c r="M4" s="412"/>
      <c r="N4" s="412"/>
    </row>
    <row r="5" spans="1:14" ht="15.6" x14ac:dyDescent="0.3">
      <c r="A5" s="412"/>
      <c r="B5" s="415" t="s">
        <v>17</v>
      </c>
      <c r="C5" s="416" t="s">
        <v>0</v>
      </c>
      <c r="D5" s="417">
        <f>+'DRE  PREVISTO'!AA8</f>
        <v>10</v>
      </c>
      <c r="E5" s="546"/>
      <c r="F5" s="416" t="s">
        <v>0</v>
      </c>
      <c r="G5" s="418">
        <f>D5</f>
        <v>10</v>
      </c>
      <c r="H5" s="546"/>
      <c r="I5" s="416" t="s">
        <v>0</v>
      </c>
      <c r="J5" s="478">
        <v>0</v>
      </c>
      <c r="K5" s="546"/>
      <c r="L5" s="412"/>
      <c r="M5" s="412"/>
      <c r="N5" s="412"/>
    </row>
    <row r="6" spans="1:14" ht="15.6" x14ac:dyDescent="0.3">
      <c r="A6" s="412"/>
      <c r="B6" s="419" t="s">
        <v>18</v>
      </c>
      <c r="C6" s="420" t="s">
        <v>0</v>
      </c>
      <c r="D6" s="421">
        <f>D4*D5</f>
        <v>595000</v>
      </c>
      <c r="E6" s="422">
        <f>IFERROR((D6/$D$6),0)</f>
        <v>1</v>
      </c>
      <c r="F6" s="420" t="s">
        <v>0</v>
      </c>
      <c r="G6" s="423">
        <f>(SUM(G14:G17)+J21)/(1-F7-F9-F10-F12-H21)</f>
        <v>901864.89134293026</v>
      </c>
      <c r="H6" s="422">
        <f>IFERROR((G6/$G$6),0)</f>
        <v>1</v>
      </c>
      <c r="I6" s="420" t="s">
        <v>0</v>
      </c>
      <c r="J6" s="423">
        <f>J4*J5</f>
        <v>0</v>
      </c>
      <c r="K6" s="422">
        <f>IFERROR((J6/$J$6),0)</f>
        <v>0</v>
      </c>
      <c r="L6" s="412"/>
      <c r="M6" s="412"/>
      <c r="N6" s="412"/>
    </row>
    <row r="7" spans="1:14" ht="15.6" x14ac:dyDescent="0.3">
      <c r="A7" s="412"/>
      <c r="B7" s="424" t="s">
        <v>19</v>
      </c>
      <c r="C7" s="482">
        <f>'DRE  PREVISTO'!B10</f>
        <v>7.1705882352941175E-2</v>
      </c>
      <c r="D7" s="425">
        <f>D6*C7</f>
        <v>42665</v>
      </c>
      <c r="E7" s="422">
        <f t="shared" ref="E7:E18" si="0">IFERROR((D7/$D$6),0)</f>
        <v>7.1705882352941175E-2</v>
      </c>
      <c r="F7" s="486">
        <f>+C7</f>
        <v>7.1705882352941175E-2</v>
      </c>
      <c r="G7" s="425">
        <f>G6*F7</f>
        <v>64669.017796884233</v>
      </c>
      <c r="H7" s="422">
        <f t="shared" ref="H7:H18" si="1">IFERROR((G7/$G$6),0)</f>
        <v>7.1705882352941175E-2</v>
      </c>
      <c r="I7" s="487">
        <v>0</v>
      </c>
      <c r="J7" s="425">
        <f>J6*I7</f>
        <v>0</v>
      </c>
      <c r="K7" s="422">
        <f t="shared" ref="K7:K18" si="2">IFERROR((J7/$J$6),0)</f>
        <v>0</v>
      </c>
      <c r="L7" s="412"/>
      <c r="M7" s="412"/>
      <c r="N7" s="412"/>
    </row>
    <row r="8" spans="1:14" ht="15.6" x14ac:dyDescent="0.3">
      <c r="A8" s="412"/>
      <c r="B8" s="419" t="s">
        <v>20</v>
      </c>
      <c r="C8" s="484"/>
      <c r="D8" s="423">
        <f>D6-D7</f>
        <v>552335</v>
      </c>
      <c r="E8" s="422">
        <f t="shared" si="0"/>
        <v>0.92829411764705883</v>
      </c>
      <c r="F8" s="483" t="s">
        <v>0</v>
      </c>
      <c r="G8" s="423">
        <f>G6-G7</f>
        <v>837195.87354604597</v>
      </c>
      <c r="H8" s="422">
        <f t="shared" si="1"/>
        <v>0.92829411764705871</v>
      </c>
      <c r="I8" s="488"/>
      <c r="J8" s="423">
        <f>J6-J7</f>
        <v>0</v>
      </c>
      <c r="K8" s="422">
        <f t="shared" si="2"/>
        <v>0</v>
      </c>
      <c r="L8" s="412"/>
      <c r="M8" s="412"/>
      <c r="N8" s="412"/>
    </row>
    <row r="9" spans="1:14" ht="15.6" x14ac:dyDescent="0.3">
      <c r="A9" s="412"/>
      <c r="B9" s="424" t="s">
        <v>21</v>
      </c>
      <c r="C9" s="485">
        <f>'DRE  PREVISTO'!B18</f>
        <v>0.4</v>
      </c>
      <c r="D9" s="425">
        <f>D6*C9</f>
        <v>238000</v>
      </c>
      <c r="E9" s="422">
        <f t="shared" si="0"/>
        <v>0.4</v>
      </c>
      <c r="F9" s="426">
        <f>+C9</f>
        <v>0.4</v>
      </c>
      <c r="G9" s="425">
        <f>G6*F9</f>
        <v>360745.95653717214</v>
      </c>
      <c r="H9" s="422">
        <f t="shared" si="1"/>
        <v>0.4</v>
      </c>
      <c r="I9" s="487">
        <v>0</v>
      </c>
      <c r="J9" s="425">
        <f>J6*I9</f>
        <v>0</v>
      </c>
      <c r="K9" s="422">
        <f t="shared" si="2"/>
        <v>0</v>
      </c>
      <c r="L9" s="412"/>
      <c r="M9" s="412"/>
      <c r="N9" s="412"/>
    </row>
    <row r="10" spans="1:14" ht="15.6" x14ac:dyDescent="0.3">
      <c r="A10" s="412"/>
      <c r="B10" s="424" t="s">
        <v>22</v>
      </c>
      <c r="C10" s="485">
        <f>'DRE  PREVISTO'!B19+'DRE  PREVISTO'!B20</f>
        <v>0</v>
      </c>
      <c r="D10" s="425">
        <f>D6*C10</f>
        <v>0</v>
      </c>
      <c r="E10" s="422">
        <f t="shared" si="0"/>
        <v>0</v>
      </c>
      <c r="F10" s="426">
        <f>+C10</f>
        <v>0</v>
      </c>
      <c r="G10" s="425">
        <f>G6*F10</f>
        <v>0</v>
      </c>
      <c r="H10" s="422">
        <f t="shared" si="1"/>
        <v>0</v>
      </c>
      <c r="I10" s="487">
        <v>0</v>
      </c>
      <c r="J10" s="425">
        <f>J6*I10</f>
        <v>0</v>
      </c>
      <c r="K10" s="422">
        <f t="shared" si="2"/>
        <v>0</v>
      </c>
      <c r="L10" s="412"/>
      <c r="M10" s="412"/>
      <c r="N10" s="412"/>
    </row>
    <row r="11" spans="1:14" ht="15.6" x14ac:dyDescent="0.3">
      <c r="A11" s="412"/>
      <c r="B11" s="419" t="s">
        <v>23</v>
      </c>
      <c r="C11" s="484"/>
      <c r="D11" s="423">
        <f>D8-D9-D10</f>
        <v>314335</v>
      </c>
      <c r="E11" s="422">
        <f t="shared" si="0"/>
        <v>0.5282941176470588</v>
      </c>
      <c r="F11" s="483" t="s">
        <v>0</v>
      </c>
      <c r="G11" s="423">
        <f>G8-G9-G10</f>
        <v>476449.91700887383</v>
      </c>
      <c r="H11" s="422">
        <f t="shared" si="1"/>
        <v>0.52829411764705869</v>
      </c>
      <c r="I11" s="488"/>
      <c r="J11" s="423">
        <f>J8-J9-J10</f>
        <v>0</v>
      </c>
      <c r="K11" s="422">
        <f t="shared" si="2"/>
        <v>0</v>
      </c>
      <c r="L11" s="412"/>
      <c r="M11" s="412"/>
      <c r="N11" s="412"/>
    </row>
    <row r="12" spans="1:14" ht="15.6" x14ac:dyDescent="0.3">
      <c r="A12" s="412"/>
      <c r="B12" s="424" t="s">
        <v>24</v>
      </c>
      <c r="C12" s="485">
        <f>+'DRE  PREVISTO'!B31</f>
        <v>0.08</v>
      </c>
      <c r="D12" s="425">
        <f>D6*C12</f>
        <v>47600</v>
      </c>
      <c r="E12" s="422">
        <f t="shared" si="0"/>
        <v>0.08</v>
      </c>
      <c r="F12" s="426">
        <f>+C12</f>
        <v>0.08</v>
      </c>
      <c r="G12" s="425">
        <f>G6*F12</f>
        <v>72149.191307434419</v>
      </c>
      <c r="H12" s="422">
        <f t="shared" si="1"/>
        <v>0.08</v>
      </c>
      <c r="I12" s="487">
        <v>0</v>
      </c>
      <c r="J12" s="425">
        <f>J6*I12</f>
        <v>0</v>
      </c>
      <c r="K12" s="422">
        <f t="shared" si="2"/>
        <v>0</v>
      </c>
      <c r="L12" s="412"/>
      <c r="M12" s="412"/>
      <c r="N12" s="412"/>
    </row>
    <row r="13" spans="1:14" ht="15.6" x14ac:dyDescent="0.3">
      <c r="A13" s="412"/>
      <c r="B13" s="419" t="s">
        <v>25</v>
      </c>
      <c r="C13" s="427" t="s">
        <v>0</v>
      </c>
      <c r="D13" s="423">
        <f>D11-D12</f>
        <v>266735</v>
      </c>
      <c r="E13" s="428">
        <f t="shared" si="0"/>
        <v>0.44829411764705884</v>
      </c>
      <c r="F13" s="427" t="s">
        <v>0</v>
      </c>
      <c r="G13" s="423">
        <f>G11-G12</f>
        <v>404300.72570143943</v>
      </c>
      <c r="H13" s="428">
        <f t="shared" si="1"/>
        <v>0.44829411764705873</v>
      </c>
      <c r="I13" s="427" t="s">
        <v>0</v>
      </c>
      <c r="J13" s="423">
        <f>J11-J12</f>
        <v>0</v>
      </c>
      <c r="K13" s="428">
        <f t="shared" si="2"/>
        <v>0</v>
      </c>
      <c r="L13" s="412"/>
      <c r="M13" s="412"/>
      <c r="N13" s="412"/>
    </row>
    <row r="14" spans="1:14" ht="15.6" x14ac:dyDescent="0.3">
      <c r="A14" s="412"/>
      <c r="B14" s="429" t="s">
        <v>26</v>
      </c>
      <c r="C14" s="416" t="s">
        <v>0</v>
      </c>
      <c r="D14" s="430">
        <f>+'DRE  PREVISTO'!AA36</f>
        <v>269020.99199999997</v>
      </c>
      <c r="E14" s="422">
        <f t="shared" si="0"/>
        <v>0.45213612100840334</v>
      </c>
      <c r="F14" s="416" t="s">
        <v>0</v>
      </c>
      <c r="G14" s="425">
        <f>D14</f>
        <v>269020.99199999997</v>
      </c>
      <c r="H14" s="422">
        <f t="shared" si="1"/>
        <v>0.29829411764705882</v>
      </c>
      <c r="I14" s="416" t="s">
        <v>0</v>
      </c>
      <c r="J14" s="479">
        <f>+G14</f>
        <v>269020.99199999997</v>
      </c>
      <c r="K14" s="422">
        <f t="shared" si="2"/>
        <v>0</v>
      </c>
      <c r="L14" s="412"/>
      <c r="M14" s="412"/>
      <c r="N14" s="412"/>
    </row>
    <row r="15" spans="1:14" ht="15.6" x14ac:dyDescent="0.3">
      <c r="A15" s="412"/>
      <c r="B15" s="429" t="s">
        <v>27</v>
      </c>
      <c r="C15" s="416"/>
      <c r="D15" s="430">
        <f>+'DRE  PREVISTO'!AA21</f>
        <v>0</v>
      </c>
      <c r="E15" s="422"/>
      <c r="F15" s="416"/>
      <c r="G15" s="425">
        <f t="shared" ref="G15:G17" si="3">D15</f>
        <v>0</v>
      </c>
      <c r="H15" s="422"/>
      <c r="I15" s="416"/>
      <c r="J15" s="479">
        <v>0</v>
      </c>
      <c r="K15" s="422">
        <f t="shared" si="2"/>
        <v>0</v>
      </c>
      <c r="L15" s="412"/>
      <c r="M15" s="412"/>
      <c r="N15" s="412"/>
    </row>
    <row r="16" spans="1:14" ht="15.6" x14ac:dyDescent="0.3">
      <c r="A16" s="412"/>
      <c r="B16" s="429" t="s">
        <v>28</v>
      </c>
      <c r="C16" s="416"/>
      <c r="D16" s="430"/>
      <c r="E16" s="422"/>
      <c r="F16" s="416"/>
      <c r="G16" s="425">
        <f t="shared" si="3"/>
        <v>0</v>
      </c>
      <c r="H16" s="422"/>
      <c r="I16" s="416"/>
      <c r="J16" s="479"/>
      <c r="K16" s="422">
        <f t="shared" si="2"/>
        <v>0</v>
      </c>
      <c r="L16" s="412"/>
      <c r="M16" s="412"/>
      <c r="N16" s="412"/>
    </row>
    <row r="17" spans="1:14" ht="16.2" thickBot="1" x14ac:dyDescent="0.35">
      <c r="A17" s="412"/>
      <c r="B17" s="431" t="s">
        <v>29</v>
      </c>
      <c r="C17" s="416" t="s">
        <v>0</v>
      </c>
      <c r="D17" s="430">
        <f>+'DRE  PREVISTO'!AA63</f>
        <v>0</v>
      </c>
      <c r="E17" s="422">
        <f t="shared" si="0"/>
        <v>0</v>
      </c>
      <c r="F17" s="416" t="s">
        <v>0</v>
      </c>
      <c r="G17" s="425">
        <f t="shared" si="3"/>
        <v>0</v>
      </c>
      <c r="H17" s="422">
        <f t="shared" si="1"/>
        <v>0</v>
      </c>
      <c r="I17" s="416" t="s">
        <v>0</v>
      </c>
      <c r="J17" s="479"/>
      <c r="K17" s="422">
        <f t="shared" si="2"/>
        <v>0</v>
      </c>
      <c r="L17" s="412"/>
      <c r="M17" s="412"/>
      <c r="N17" s="412"/>
    </row>
    <row r="18" spans="1:14" ht="16.2" thickBot="1" x14ac:dyDescent="0.35">
      <c r="A18" s="412"/>
      <c r="B18" s="432" t="s">
        <v>30</v>
      </c>
      <c r="C18" s="433"/>
      <c r="D18" s="434">
        <f>D13-SUM(D14:D17)</f>
        <v>-2285.9919999999693</v>
      </c>
      <c r="E18" s="481">
        <f>IFERROR((D18/$D$6),0)</f>
        <v>-3.8420033613444861E-3</v>
      </c>
      <c r="F18" s="436"/>
      <c r="G18" s="434">
        <f>G13-SUM(G14:G17)</f>
        <v>135279.73370143946</v>
      </c>
      <c r="H18" s="435">
        <f t="shared" si="1"/>
        <v>0.14999999999999991</v>
      </c>
      <c r="I18" s="436"/>
      <c r="J18" s="434">
        <f>J13-SUM(J14:J17)</f>
        <v>-269020.99199999997</v>
      </c>
      <c r="K18" s="435">
        <f t="shared" si="2"/>
        <v>0</v>
      </c>
      <c r="L18" s="412"/>
      <c r="M18" s="412"/>
      <c r="N18" s="412"/>
    </row>
    <row r="19" spans="1:14" ht="15.6" customHeight="1" x14ac:dyDescent="0.3">
      <c r="A19" s="412"/>
      <c r="B19" s="437"/>
      <c r="C19" s="438"/>
      <c r="D19" s="473">
        <f>+'DRE  PREVISTO'!AA64-D18</f>
        <v>0</v>
      </c>
      <c r="E19" s="440"/>
      <c r="F19" s="438"/>
      <c r="G19" s="439"/>
      <c r="H19" s="440"/>
      <c r="I19" s="438"/>
      <c r="J19" s="439"/>
      <c r="K19" s="440"/>
      <c r="L19" s="441"/>
      <c r="M19" s="412"/>
      <c r="N19" s="412"/>
    </row>
    <row r="20" spans="1:14" ht="15.6" customHeight="1" thickBot="1" x14ac:dyDescent="0.35">
      <c r="A20" s="412"/>
      <c r="B20" s="437"/>
      <c r="C20" s="438"/>
      <c r="D20" s="474"/>
      <c r="E20" s="440"/>
      <c r="F20" s="438"/>
      <c r="G20" s="439"/>
      <c r="H20" s="440"/>
      <c r="I20" s="438"/>
      <c r="J20" s="439"/>
      <c r="K20" s="440"/>
      <c r="L20" s="441"/>
      <c r="M20" s="412"/>
      <c r="N20" s="412"/>
    </row>
    <row r="21" spans="1:14" ht="16.8" thickTop="1" thickBot="1" x14ac:dyDescent="0.35">
      <c r="A21" s="412"/>
      <c r="B21" s="441"/>
      <c r="C21" s="442"/>
      <c r="D21" s="441"/>
      <c r="E21" s="441"/>
      <c r="F21" s="441"/>
      <c r="G21" s="441"/>
      <c r="H21" s="443">
        <v>0.15</v>
      </c>
      <c r="I21" s="444" t="s">
        <v>31</v>
      </c>
      <c r="J21" s="547">
        <v>0</v>
      </c>
      <c r="K21" s="548"/>
      <c r="L21" s="441"/>
      <c r="M21" s="412"/>
      <c r="N21" s="412"/>
    </row>
    <row r="22" spans="1:14" ht="18" thickTop="1" x14ac:dyDescent="0.45">
      <c r="A22" s="412"/>
      <c r="B22" s="412"/>
      <c r="C22" s="445"/>
      <c r="D22" s="412"/>
      <c r="E22" s="412"/>
      <c r="F22" s="412"/>
      <c r="G22" s="446"/>
      <c r="H22" s="447"/>
      <c r="I22" s="412"/>
      <c r="J22" s="412"/>
      <c r="K22" s="412"/>
      <c r="L22" s="412"/>
      <c r="M22" s="412"/>
      <c r="N22" s="412"/>
    </row>
    <row r="23" spans="1:14" ht="15.6" x14ac:dyDescent="0.3">
      <c r="A23" s="412"/>
      <c r="B23" s="412"/>
      <c r="C23" s="412"/>
      <c r="D23" s="412"/>
      <c r="E23" s="412"/>
      <c r="F23" s="412"/>
      <c r="G23" s="412"/>
      <c r="H23" s="412"/>
      <c r="I23" s="412"/>
      <c r="J23" s="412"/>
      <c r="K23" s="412"/>
      <c r="L23" s="412"/>
      <c r="M23" s="412"/>
      <c r="N23" s="412"/>
    </row>
    <row r="24" spans="1:14" ht="17.399999999999999" x14ac:dyDescent="0.45">
      <c r="A24" s="412"/>
      <c r="B24" s="412"/>
      <c r="C24" s="445"/>
      <c r="D24" s="412"/>
      <c r="E24" s="412"/>
      <c r="F24" s="412"/>
      <c r="G24" s="446"/>
      <c r="H24" s="447"/>
      <c r="I24" s="412"/>
      <c r="J24" s="412"/>
      <c r="K24" s="412"/>
      <c r="L24" s="412"/>
      <c r="M24" s="412"/>
      <c r="N24" s="412"/>
    </row>
    <row r="25" spans="1:14" ht="15.6" x14ac:dyDescent="0.3">
      <c r="A25" s="412"/>
      <c r="B25" s="412"/>
      <c r="C25" s="445"/>
      <c r="D25" s="412"/>
      <c r="E25" s="412"/>
      <c r="F25" s="412"/>
      <c r="G25" s="448"/>
      <c r="H25" s="412"/>
      <c r="I25" s="412"/>
      <c r="J25" s="412"/>
      <c r="K25" s="412"/>
      <c r="L25" s="412"/>
      <c r="M25" s="412"/>
      <c r="N25" s="412"/>
    </row>
    <row r="26" spans="1:14" ht="15.6" x14ac:dyDescent="0.3">
      <c r="A26" s="412"/>
      <c r="B26" s="412"/>
      <c r="C26" s="412"/>
      <c r="D26" s="412"/>
      <c r="E26" s="412"/>
      <c r="F26" s="412"/>
      <c r="G26" s="412"/>
      <c r="H26" s="412"/>
      <c r="I26" s="412"/>
      <c r="J26" s="412"/>
      <c r="K26" s="412"/>
      <c r="L26" s="412"/>
      <c r="M26" s="412"/>
      <c r="N26" s="412"/>
    </row>
    <row r="27" spans="1:14" ht="15.6" x14ac:dyDescent="0.3">
      <c r="A27" s="412"/>
      <c r="B27" s="412"/>
      <c r="C27" s="412"/>
      <c r="D27" s="412"/>
      <c r="E27" s="412"/>
      <c r="F27" s="412"/>
      <c r="G27" s="412"/>
      <c r="H27" s="412"/>
      <c r="I27" s="412"/>
      <c r="J27" s="412"/>
      <c r="K27" s="412"/>
      <c r="L27" s="412"/>
      <c r="M27" s="412"/>
      <c r="N27" s="412"/>
    </row>
    <row r="28" spans="1:14" ht="15.6" x14ac:dyDescent="0.3">
      <c r="A28" s="412"/>
      <c r="B28" s="412"/>
      <c r="C28" s="412"/>
      <c r="D28" s="412"/>
      <c r="E28" s="412"/>
      <c r="F28" s="412"/>
      <c r="G28" s="412"/>
      <c r="H28" s="412"/>
      <c r="I28" s="412"/>
      <c r="J28" s="412"/>
      <c r="K28" s="412"/>
      <c r="L28" s="412"/>
      <c r="M28" s="412"/>
      <c r="N28" s="412"/>
    </row>
    <row r="29" spans="1:14" ht="15.6" x14ac:dyDescent="0.3">
      <c r="A29" s="412"/>
      <c r="B29" s="412"/>
      <c r="C29" s="412"/>
      <c r="D29" s="412"/>
      <c r="E29" s="412"/>
      <c r="F29" s="412"/>
      <c r="G29" s="412"/>
      <c r="H29" s="412"/>
      <c r="I29" s="412"/>
      <c r="J29" s="412"/>
      <c r="K29" s="412"/>
      <c r="L29" s="412"/>
      <c r="M29" s="412"/>
      <c r="N29" s="412"/>
    </row>
    <row r="30" spans="1:14" ht="15.6" x14ac:dyDescent="0.3">
      <c r="A30" s="412"/>
      <c r="B30" s="412"/>
      <c r="C30" s="412"/>
      <c r="D30" s="412"/>
      <c r="E30" s="412"/>
      <c r="F30" s="412"/>
      <c r="G30" s="412"/>
      <c r="H30" s="412"/>
      <c r="I30" s="412"/>
      <c r="J30" s="412"/>
      <c r="K30" s="412"/>
      <c r="L30" s="412"/>
      <c r="M30" s="412"/>
      <c r="N30" s="412"/>
    </row>
    <row r="31" spans="1:14" ht="15.6" x14ac:dyDescent="0.3">
      <c r="A31" s="412"/>
      <c r="B31" s="412"/>
      <c r="C31" s="412"/>
      <c r="D31" s="412"/>
      <c r="E31" s="412"/>
      <c r="F31" s="412"/>
      <c r="G31" s="412"/>
      <c r="H31" s="412"/>
      <c r="I31" s="412"/>
      <c r="J31" s="412"/>
      <c r="K31" s="412"/>
      <c r="L31" s="412"/>
      <c r="M31" s="412"/>
      <c r="N31" s="412"/>
    </row>
  </sheetData>
  <mergeCells count="4">
    <mergeCell ref="E4:E5"/>
    <mergeCell ref="H4:H5"/>
    <mergeCell ref="K4:K5"/>
    <mergeCell ref="J21:K21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5"/>
  <sheetViews>
    <sheetView showGridLines="0" zoomScale="130" zoomScaleNormal="130" workbookViewId="0"/>
  </sheetViews>
  <sheetFormatPr defaultRowHeight="14.4" x14ac:dyDescent="0.3"/>
  <cols>
    <col min="1" max="1" width="3.6640625" customWidth="1"/>
    <col min="2" max="2" width="20.6640625" customWidth="1"/>
    <col min="3" max="3" width="35.44140625" customWidth="1"/>
    <col min="4" max="4" width="14.5546875" customWidth="1"/>
    <col min="5" max="5" width="16.33203125" customWidth="1"/>
    <col min="6" max="6" width="15" customWidth="1"/>
  </cols>
  <sheetData>
    <row r="1" spans="2:6" ht="23.4" x14ac:dyDescent="0.45">
      <c r="B1" s="549" t="s">
        <v>32</v>
      </c>
      <c r="C1" s="550"/>
      <c r="D1" s="550"/>
      <c r="E1" s="550"/>
      <c r="F1" s="550"/>
    </row>
    <row r="2" spans="2:6" x14ac:dyDescent="0.3">
      <c r="B2" s="378"/>
      <c r="C2" s="378"/>
      <c r="D2" s="378"/>
      <c r="E2" s="378"/>
      <c r="F2" s="378"/>
    </row>
    <row r="3" spans="2:6" ht="18" x14ac:dyDescent="0.35">
      <c r="B3" s="379" t="s">
        <v>33</v>
      </c>
      <c r="C3" s="379" t="s">
        <v>34</v>
      </c>
      <c r="D3" s="379" t="s">
        <v>35</v>
      </c>
      <c r="E3" s="379" t="s">
        <v>36</v>
      </c>
      <c r="F3" s="379" t="s">
        <v>37</v>
      </c>
    </row>
    <row r="4" spans="2:6" ht="15.6" x14ac:dyDescent="0.3">
      <c r="B4" s="380"/>
      <c r="C4" s="381"/>
      <c r="D4" s="382"/>
      <c r="E4" s="382"/>
      <c r="F4" s="383">
        <v>0</v>
      </c>
    </row>
    <row r="5" spans="2:6" ht="15.6" x14ac:dyDescent="0.3">
      <c r="B5" s="384"/>
      <c r="C5" s="385"/>
      <c r="D5" s="386"/>
      <c r="E5" s="386"/>
      <c r="F5" s="387">
        <f>F4+D5-E5</f>
        <v>0</v>
      </c>
    </row>
    <row r="6" spans="2:6" ht="15.6" x14ac:dyDescent="0.3">
      <c r="B6" s="384"/>
      <c r="C6" s="385"/>
      <c r="D6" s="386"/>
      <c r="E6" s="386"/>
      <c r="F6" s="387">
        <f t="shared" ref="F6:F40" si="0">F5+D6-E6</f>
        <v>0</v>
      </c>
    </row>
    <row r="7" spans="2:6" ht="15.6" x14ac:dyDescent="0.3">
      <c r="B7" s="384"/>
      <c r="C7" s="385"/>
      <c r="D7" s="386"/>
      <c r="E7" s="386"/>
      <c r="F7" s="387">
        <f t="shared" si="0"/>
        <v>0</v>
      </c>
    </row>
    <row r="8" spans="2:6" ht="15.6" x14ac:dyDescent="0.3">
      <c r="B8" s="384"/>
      <c r="C8" s="385"/>
      <c r="D8" s="386"/>
      <c r="E8" s="386"/>
      <c r="F8" s="387">
        <f t="shared" si="0"/>
        <v>0</v>
      </c>
    </row>
    <row r="9" spans="2:6" ht="15.6" x14ac:dyDescent="0.3">
      <c r="B9" s="384"/>
      <c r="C9" s="385"/>
      <c r="D9" s="386"/>
      <c r="E9" s="386"/>
      <c r="F9" s="387">
        <f t="shared" si="0"/>
        <v>0</v>
      </c>
    </row>
    <row r="10" spans="2:6" ht="15.6" x14ac:dyDescent="0.3">
      <c r="B10" s="384"/>
      <c r="C10" s="385"/>
      <c r="D10" s="386"/>
      <c r="E10" s="386"/>
      <c r="F10" s="387">
        <f t="shared" si="0"/>
        <v>0</v>
      </c>
    </row>
    <row r="11" spans="2:6" ht="15.6" x14ac:dyDescent="0.3">
      <c r="B11" s="384"/>
      <c r="C11" s="385"/>
      <c r="D11" s="386"/>
      <c r="E11" s="386"/>
      <c r="F11" s="387">
        <f t="shared" si="0"/>
        <v>0</v>
      </c>
    </row>
    <row r="12" spans="2:6" ht="15.6" x14ac:dyDescent="0.3">
      <c r="B12" s="384"/>
      <c r="C12" s="385"/>
      <c r="D12" s="386"/>
      <c r="E12" s="386"/>
      <c r="F12" s="387">
        <f t="shared" si="0"/>
        <v>0</v>
      </c>
    </row>
    <row r="13" spans="2:6" ht="15.6" x14ac:dyDescent="0.3">
      <c r="B13" s="388"/>
      <c r="C13" s="385"/>
      <c r="D13" s="386"/>
      <c r="E13" s="386"/>
      <c r="F13" s="387">
        <f t="shared" si="0"/>
        <v>0</v>
      </c>
    </row>
    <row r="14" spans="2:6" ht="15.6" x14ac:dyDescent="0.3">
      <c r="B14" s="388"/>
      <c r="C14" s="385"/>
      <c r="D14" s="386"/>
      <c r="E14" s="386"/>
      <c r="F14" s="387">
        <f t="shared" si="0"/>
        <v>0</v>
      </c>
    </row>
    <row r="15" spans="2:6" ht="15.6" x14ac:dyDescent="0.3">
      <c r="B15" s="388"/>
      <c r="C15" s="385"/>
      <c r="D15" s="386"/>
      <c r="E15" s="386"/>
      <c r="F15" s="387">
        <f t="shared" si="0"/>
        <v>0</v>
      </c>
    </row>
    <row r="16" spans="2:6" ht="15.6" x14ac:dyDescent="0.3">
      <c r="B16" s="388"/>
      <c r="C16" s="385"/>
      <c r="D16" s="386"/>
      <c r="E16" s="386"/>
      <c r="F16" s="387">
        <f t="shared" si="0"/>
        <v>0</v>
      </c>
    </row>
    <row r="17" spans="2:6" ht="15.6" x14ac:dyDescent="0.3">
      <c r="B17" s="388"/>
      <c r="C17" s="385"/>
      <c r="D17" s="386"/>
      <c r="E17" s="386"/>
      <c r="F17" s="387">
        <f t="shared" si="0"/>
        <v>0</v>
      </c>
    </row>
    <row r="18" spans="2:6" ht="15.6" x14ac:dyDescent="0.3">
      <c r="B18" s="388"/>
      <c r="C18" s="385"/>
      <c r="D18" s="386"/>
      <c r="E18" s="386"/>
      <c r="F18" s="387">
        <f t="shared" si="0"/>
        <v>0</v>
      </c>
    </row>
    <row r="19" spans="2:6" ht="15.6" x14ac:dyDescent="0.3">
      <c r="B19" s="388"/>
      <c r="C19" s="385"/>
      <c r="D19" s="386"/>
      <c r="E19" s="386"/>
      <c r="F19" s="387">
        <f t="shared" si="0"/>
        <v>0</v>
      </c>
    </row>
    <row r="20" spans="2:6" ht="15.6" x14ac:dyDescent="0.3">
      <c r="B20" s="388"/>
      <c r="C20" s="385"/>
      <c r="D20" s="386"/>
      <c r="E20" s="386"/>
      <c r="F20" s="387">
        <f t="shared" si="0"/>
        <v>0</v>
      </c>
    </row>
    <row r="21" spans="2:6" ht="15.6" x14ac:dyDescent="0.3">
      <c r="B21" s="388"/>
      <c r="C21" s="385"/>
      <c r="D21" s="386"/>
      <c r="E21" s="386"/>
      <c r="F21" s="387">
        <f t="shared" si="0"/>
        <v>0</v>
      </c>
    </row>
    <row r="22" spans="2:6" ht="15.6" x14ac:dyDescent="0.3">
      <c r="B22" s="388"/>
      <c r="C22" s="385"/>
      <c r="D22" s="386"/>
      <c r="E22" s="386"/>
      <c r="F22" s="387">
        <f t="shared" si="0"/>
        <v>0</v>
      </c>
    </row>
    <row r="23" spans="2:6" ht="15.6" x14ac:dyDescent="0.3">
      <c r="B23" s="388"/>
      <c r="C23" s="385"/>
      <c r="D23" s="386"/>
      <c r="E23" s="386"/>
      <c r="F23" s="387">
        <f t="shared" si="0"/>
        <v>0</v>
      </c>
    </row>
    <row r="24" spans="2:6" ht="15.6" x14ac:dyDescent="0.3">
      <c r="B24" s="388"/>
      <c r="C24" s="385"/>
      <c r="D24" s="386"/>
      <c r="E24" s="386"/>
      <c r="F24" s="387">
        <f t="shared" si="0"/>
        <v>0</v>
      </c>
    </row>
    <row r="25" spans="2:6" ht="15.6" x14ac:dyDescent="0.3">
      <c r="B25" s="388"/>
      <c r="C25" s="385"/>
      <c r="D25" s="386"/>
      <c r="E25" s="386"/>
      <c r="F25" s="387">
        <f t="shared" si="0"/>
        <v>0</v>
      </c>
    </row>
    <row r="26" spans="2:6" ht="15.6" x14ac:dyDescent="0.3">
      <c r="B26" s="388"/>
      <c r="C26" s="385"/>
      <c r="D26" s="386"/>
      <c r="E26" s="386"/>
      <c r="F26" s="387">
        <f t="shared" si="0"/>
        <v>0</v>
      </c>
    </row>
    <row r="27" spans="2:6" ht="15.6" x14ac:dyDescent="0.3">
      <c r="B27" s="388"/>
      <c r="C27" s="385"/>
      <c r="D27" s="386"/>
      <c r="E27" s="386"/>
      <c r="F27" s="387">
        <f t="shared" si="0"/>
        <v>0</v>
      </c>
    </row>
    <row r="28" spans="2:6" ht="15.6" x14ac:dyDescent="0.3">
      <c r="B28" s="388"/>
      <c r="C28" s="385"/>
      <c r="D28" s="386"/>
      <c r="E28" s="386"/>
      <c r="F28" s="387">
        <f t="shared" si="0"/>
        <v>0</v>
      </c>
    </row>
    <row r="29" spans="2:6" ht="15.6" x14ac:dyDescent="0.3">
      <c r="B29" s="388"/>
      <c r="C29" s="385"/>
      <c r="D29" s="386"/>
      <c r="E29" s="386"/>
      <c r="F29" s="387">
        <f t="shared" si="0"/>
        <v>0</v>
      </c>
    </row>
    <row r="30" spans="2:6" ht="15.6" x14ac:dyDescent="0.3">
      <c r="B30" s="388"/>
      <c r="C30" s="385"/>
      <c r="D30" s="386"/>
      <c r="E30" s="386"/>
      <c r="F30" s="387">
        <f t="shared" si="0"/>
        <v>0</v>
      </c>
    </row>
    <row r="31" spans="2:6" ht="15.6" x14ac:dyDescent="0.3">
      <c r="B31" s="388"/>
      <c r="C31" s="385"/>
      <c r="D31" s="386"/>
      <c r="E31" s="386"/>
      <c r="F31" s="387">
        <f t="shared" si="0"/>
        <v>0</v>
      </c>
    </row>
    <row r="32" spans="2:6" ht="15.6" x14ac:dyDescent="0.3">
      <c r="B32" s="388"/>
      <c r="C32" s="385"/>
      <c r="D32" s="386"/>
      <c r="E32" s="386"/>
      <c r="F32" s="387">
        <f t="shared" si="0"/>
        <v>0</v>
      </c>
    </row>
    <row r="33" spans="2:6" ht="15.6" x14ac:dyDescent="0.3">
      <c r="B33" s="388"/>
      <c r="C33" s="385"/>
      <c r="D33" s="386"/>
      <c r="E33" s="386"/>
      <c r="F33" s="387">
        <f t="shared" si="0"/>
        <v>0</v>
      </c>
    </row>
    <row r="34" spans="2:6" ht="15.6" x14ac:dyDescent="0.3">
      <c r="B34" s="388"/>
      <c r="C34" s="385"/>
      <c r="D34" s="386"/>
      <c r="E34" s="386"/>
      <c r="F34" s="387">
        <f t="shared" si="0"/>
        <v>0</v>
      </c>
    </row>
    <row r="35" spans="2:6" ht="15.6" x14ac:dyDescent="0.3">
      <c r="B35" s="388"/>
      <c r="C35" s="385"/>
      <c r="D35" s="386"/>
      <c r="E35" s="386"/>
      <c r="F35" s="387">
        <f t="shared" si="0"/>
        <v>0</v>
      </c>
    </row>
    <row r="36" spans="2:6" ht="15.6" x14ac:dyDescent="0.3">
      <c r="B36" s="388"/>
      <c r="C36" s="385"/>
      <c r="D36" s="386"/>
      <c r="E36" s="386"/>
      <c r="F36" s="387">
        <f t="shared" si="0"/>
        <v>0</v>
      </c>
    </row>
    <row r="37" spans="2:6" ht="15.6" x14ac:dyDescent="0.3">
      <c r="B37" s="388"/>
      <c r="C37" s="385"/>
      <c r="D37" s="386"/>
      <c r="E37" s="386"/>
      <c r="F37" s="387">
        <f t="shared" si="0"/>
        <v>0</v>
      </c>
    </row>
    <row r="38" spans="2:6" ht="15.6" x14ac:dyDescent="0.3">
      <c r="B38" s="388"/>
      <c r="C38" s="385"/>
      <c r="D38" s="386"/>
      <c r="E38" s="386"/>
      <c r="F38" s="387">
        <f t="shared" si="0"/>
        <v>0</v>
      </c>
    </row>
    <row r="39" spans="2:6" ht="15.6" x14ac:dyDescent="0.3">
      <c r="B39" s="388"/>
      <c r="C39" s="385"/>
      <c r="D39" s="386"/>
      <c r="E39" s="386"/>
      <c r="F39" s="387">
        <f t="shared" si="0"/>
        <v>0</v>
      </c>
    </row>
    <row r="40" spans="2:6" ht="15.6" x14ac:dyDescent="0.3">
      <c r="B40" s="389"/>
      <c r="C40" s="390"/>
      <c r="D40" s="391"/>
      <c r="E40" s="391"/>
      <c r="F40" s="387">
        <f t="shared" si="0"/>
        <v>0</v>
      </c>
    </row>
    <row r="41" spans="2:6" ht="15.6" x14ac:dyDescent="0.3">
      <c r="B41" s="392" t="s">
        <v>38</v>
      </c>
      <c r="C41" s="392"/>
      <c r="D41" s="393"/>
      <c r="E41" s="394"/>
      <c r="F41" s="395"/>
    </row>
    <row r="42" spans="2:6" ht="15.6" x14ac:dyDescent="0.3">
      <c r="B42" s="396"/>
      <c r="C42" s="397" t="s">
        <v>39</v>
      </c>
      <c r="D42" s="398"/>
      <c r="E42" s="399"/>
      <c r="F42" s="400">
        <f>F4</f>
        <v>0</v>
      </c>
    </row>
    <row r="43" spans="2:6" ht="15.6" x14ac:dyDescent="0.3">
      <c r="B43" s="396"/>
      <c r="C43" s="401" t="s">
        <v>40</v>
      </c>
      <c r="D43" s="402">
        <f>SUM(D4:D40)</f>
        <v>0</v>
      </c>
      <c r="E43" s="403"/>
      <c r="F43" s="404"/>
    </row>
    <row r="44" spans="2:6" ht="15.6" x14ac:dyDescent="0.3">
      <c r="B44" s="396"/>
      <c r="C44" s="401" t="s">
        <v>41</v>
      </c>
      <c r="D44" s="405"/>
      <c r="E44" s="406">
        <f>SUM(E4:E40)</f>
        <v>0</v>
      </c>
      <c r="F44" s="407"/>
    </row>
    <row r="45" spans="2:6" ht="15.6" x14ac:dyDescent="0.3">
      <c r="B45" s="396"/>
      <c r="C45" s="408" t="s">
        <v>42</v>
      </c>
      <c r="D45" s="409"/>
      <c r="E45" s="410"/>
      <c r="F45" s="411">
        <f>F42+D43-E44</f>
        <v>0</v>
      </c>
    </row>
  </sheetData>
  <mergeCells count="1">
    <mergeCell ref="B1:F1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3"/>
  <sheetViews>
    <sheetView showGridLines="0" zoomScale="154" zoomScaleNormal="154" workbookViewId="0">
      <selection sqref="A1:I1"/>
    </sheetView>
  </sheetViews>
  <sheetFormatPr defaultRowHeight="14.4" x14ac:dyDescent="0.3"/>
  <cols>
    <col min="1" max="1" width="20.109375" customWidth="1"/>
    <col min="3" max="3" width="12.109375" customWidth="1"/>
    <col min="4" max="4" width="13.5546875" customWidth="1"/>
    <col min="5" max="5" width="14.44140625" bestFit="1" customWidth="1"/>
    <col min="7" max="7" width="17.33203125" customWidth="1"/>
    <col min="8" max="8" width="16" bestFit="1" customWidth="1"/>
    <col min="9" max="9" width="16.44140625" bestFit="1" customWidth="1"/>
    <col min="10" max="10" width="13" bestFit="1" customWidth="1"/>
  </cols>
  <sheetData>
    <row r="1" spans="1:10" ht="25.8" x14ac:dyDescent="0.3">
      <c r="A1" s="560" t="s">
        <v>43</v>
      </c>
      <c r="B1" s="561"/>
      <c r="C1" s="561"/>
      <c r="D1" s="561"/>
      <c r="E1" s="561"/>
      <c r="F1" s="561"/>
      <c r="G1" s="561"/>
      <c r="H1" s="561"/>
      <c r="I1" s="562"/>
    </row>
    <row r="2" spans="1:10" ht="25.8" x14ac:dyDescent="0.3">
      <c r="A2" s="231" t="s">
        <v>44</v>
      </c>
      <c r="B2" s="232"/>
      <c r="C2" s="563" t="s">
        <v>45</v>
      </c>
      <c r="D2" s="563"/>
      <c r="E2" s="563"/>
      <c r="F2" s="564" t="s">
        <v>46</v>
      </c>
      <c r="G2" s="564"/>
      <c r="H2" s="564"/>
      <c r="I2" s="565"/>
    </row>
    <row r="3" spans="1:10" ht="18" x14ac:dyDescent="0.3">
      <c r="A3" s="566" t="s">
        <v>47</v>
      </c>
      <c r="B3" s="566"/>
      <c r="C3" s="566"/>
      <c r="D3" s="566"/>
      <c r="E3" s="566"/>
      <c r="F3" s="566"/>
      <c r="G3" s="566"/>
      <c r="H3" s="566"/>
      <c r="I3" s="233">
        <v>4</v>
      </c>
    </row>
    <row r="4" spans="1:10" ht="15.6" x14ac:dyDescent="0.3">
      <c r="A4" s="567" t="s">
        <v>48</v>
      </c>
      <c r="B4" s="568"/>
      <c r="C4" s="568"/>
      <c r="D4" s="568"/>
      <c r="E4" s="569"/>
      <c r="F4" s="567" t="s">
        <v>49</v>
      </c>
      <c r="G4" s="568"/>
      <c r="H4" s="568"/>
      <c r="I4" s="569"/>
    </row>
    <row r="5" spans="1:10" ht="15.6" x14ac:dyDescent="0.3">
      <c r="A5" s="557" t="s">
        <v>50</v>
      </c>
      <c r="B5" s="558"/>
      <c r="C5" s="559"/>
      <c r="D5" s="234" t="s">
        <v>3</v>
      </c>
      <c r="E5" s="235" t="s">
        <v>51</v>
      </c>
      <c r="F5" s="557" t="s">
        <v>50</v>
      </c>
      <c r="G5" s="559"/>
      <c r="H5" s="236" t="s">
        <v>52</v>
      </c>
      <c r="I5" s="236" t="s">
        <v>51</v>
      </c>
    </row>
    <row r="6" spans="1:10" ht="21" x14ac:dyDescent="0.3">
      <c r="A6" s="237" t="s">
        <v>53</v>
      </c>
      <c r="B6" s="238" t="s">
        <v>54</v>
      </c>
      <c r="C6" s="239">
        <v>60</v>
      </c>
      <c r="D6" s="240">
        <f>(((((1+$E$9)/(1-(+$E$12+$E$17+$E$23+$E$7+($E$22*(1-($E$13+$E$14+$E$15+$E$16)))))*((1+$D$8)^($C$6/30)))/(1-$E$10))))</f>
        <v>2.9334115576415374</v>
      </c>
      <c r="E6" s="241">
        <f>I3*D6</f>
        <v>11.73364623056615</v>
      </c>
      <c r="F6" s="243" t="s">
        <v>55</v>
      </c>
      <c r="G6" s="302" t="s">
        <v>54</v>
      </c>
      <c r="H6" s="244">
        <v>60</v>
      </c>
      <c r="I6" s="242">
        <v>10</v>
      </c>
    </row>
    <row r="7" spans="1:10" ht="21" x14ac:dyDescent="0.3">
      <c r="A7" s="551" t="s">
        <v>56</v>
      </c>
      <c r="B7" s="552"/>
      <c r="C7" s="246"/>
      <c r="D7" s="247"/>
      <c r="E7" s="248">
        <v>0.15</v>
      </c>
      <c r="F7" s="553" t="s">
        <v>56</v>
      </c>
      <c r="G7" s="553"/>
      <c r="H7" s="301"/>
      <c r="I7" s="249">
        <f>I33</f>
        <v>9.0899999999999898E-2</v>
      </c>
    </row>
    <row r="8" spans="1:10" ht="18" x14ac:dyDescent="0.35">
      <c r="A8" s="250" t="s">
        <v>57</v>
      </c>
      <c r="B8" s="135"/>
      <c r="C8" s="135"/>
      <c r="D8" s="251">
        <v>0</v>
      </c>
      <c r="E8" s="252" t="s">
        <v>58</v>
      </c>
      <c r="F8" s="250" t="s">
        <v>59</v>
      </c>
      <c r="G8" s="253">
        <v>1</v>
      </c>
      <c r="H8" s="254">
        <f>IF(G8=1,I6,IF(G8=2,#REF!,#REF!))</f>
        <v>10</v>
      </c>
      <c r="I8" s="255">
        <f>H8/H10</f>
        <v>1</v>
      </c>
    </row>
    <row r="9" spans="1:10" x14ac:dyDescent="0.3">
      <c r="A9" s="256" t="s">
        <v>60</v>
      </c>
      <c r="B9" s="257"/>
      <c r="C9" s="258"/>
      <c r="D9" s="259"/>
      <c r="E9" s="260">
        <v>0</v>
      </c>
      <c r="F9" s="261" t="str">
        <f>A10</f>
        <v>Bonificação</v>
      </c>
      <c r="H9" s="262">
        <f>H8*I9</f>
        <v>0</v>
      </c>
      <c r="I9" s="263">
        <f>+E10</f>
        <v>0</v>
      </c>
    </row>
    <row r="10" spans="1:10" x14ac:dyDescent="0.3">
      <c r="A10" s="264" t="s">
        <v>61</v>
      </c>
      <c r="B10" s="265"/>
      <c r="C10" s="266"/>
      <c r="D10" s="267"/>
      <c r="E10" s="268">
        <v>0</v>
      </c>
      <c r="F10" s="245" t="s">
        <v>62</v>
      </c>
      <c r="G10" s="135"/>
      <c r="H10" s="269">
        <f>+H8-H9</f>
        <v>10</v>
      </c>
      <c r="I10" s="270">
        <f>H10/H10</f>
        <v>1</v>
      </c>
    </row>
    <row r="11" spans="1:10" x14ac:dyDescent="0.3">
      <c r="A11" s="271" t="s">
        <v>63</v>
      </c>
      <c r="B11" s="271"/>
      <c r="C11" s="135"/>
      <c r="D11" s="135"/>
      <c r="E11" s="272">
        <f>E12+E17+E23</f>
        <v>0.5091</v>
      </c>
      <c r="F11" s="273" t="s">
        <v>64</v>
      </c>
      <c r="H11" s="274">
        <f>SUM(H12:H15)</f>
        <v>0.71300000000000008</v>
      </c>
      <c r="I11" s="275">
        <f>H11/H10</f>
        <v>7.1300000000000002E-2</v>
      </c>
    </row>
    <row r="12" spans="1:10" x14ac:dyDescent="0.3">
      <c r="A12" s="276" t="s">
        <v>64</v>
      </c>
      <c r="B12" s="277"/>
      <c r="C12" s="278"/>
      <c r="D12" s="279"/>
      <c r="E12" s="280">
        <f>SUM(E13:E16)</f>
        <v>7.1300000000000002E-2</v>
      </c>
      <c r="F12" s="261" t="str">
        <f>A13</f>
        <v>ICMS</v>
      </c>
      <c r="H12" s="262">
        <f>$H$10*I12</f>
        <v>0</v>
      </c>
      <c r="I12" s="281">
        <f>E13</f>
        <v>0</v>
      </c>
    </row>
    <row r="13" spans="1:10" x14ac:dyDescent="0.3">
      <c r="A13" s="282" t="s">
        <v>65</v>
      </c>
      <c r="B13" s="283"/>
      <c r="C13" s="284"/>
      <c r="D13" s="285"/>
      <c r="E13" s="495">
        <v>0</v>
      </c>
      <c r="F13" s="261" t="str">
        <f>A14</f>
        <v>PIS</v>
      </c>
      <c r="H13" s="262">
        <f>$H$10*I13</f>
        <v>0</v>
      </c>
      <c r="I13" s="281">
        <f>E14</f>
        <v>0</v>
      </c>
    </row>
    <row r="14" spans="1:10" x14ac:dyDescent="0.3">
      <c r="A14" s="282" t="s">
        <v>66</v>
      </c>
      <c r="B14" s="283"/>
      <c r="C14" s="284"/>
      <c r="D14" s="285"/>
      <c r="E14" s="495">
        <v>0</v>
      </c>
      <c r="F14" s="261" t="str">
        <f>A15</f>
        <v>COFINS</v>
      </c>
      <c r="H14" s="262">
        <f>$H$10*I14</f>
        <v>0</v>
      </c>
      <c r="I14" s="281">
        <f>E15</f>
        <v>0</v>
      </c>
    </row>
    <row r="15" spans="1:10" x14ac:dyDescent="0.3">
      <c r="A15" s="282" t="s">
        <v>67</v>
      </c>
      <c r="B15" s="283"/>
      <c r="C15" s="284"/>
      <c r="D15" s="286"/>
      <c r="E15" s="496">
        <v>0</v>
      </c>
      <c r="F15" s="261" t="str">
        <f>A16</f>
        <v>Simples</v>
      </c>
      <c r="H15" s="262">
        <f>$H$10*I15</f>
        <v>0.71300000000000008</v>
      </c>
      <c r="I15" s="281">
        <f>E16</f>
        <v>7.1300000000000002E-2</v>
      </c>
    </row>
    <row r="16" spans="1:10" x14ac:dyDescent="0.3">
      <c r="A16" s="282" t="s">
        <v>68</v>
      </c>
      <c r="B16" s="283"/>
      <c r="C16" s="284"/>
      <c r="D16" s="285"/>
      <c r="E16" s="495">
        <v>7.1300000000000002E-2</v>
      </c>
      <c r="F16" s="245" t="s">
        <v>69</v>
      </c>
      <c r="G16" s="135"/>
      <c r="H16" s="269">
        <f>+H10-H11</f>
        <v>9.286999999999999</v>
      </c>
      <c r="I16" s="287">
        <f>+H16/H10</f>
        <v>0.92869999999999986</v>
      </c>
    </row>
    <row r="17" spans="1:9" x14ac:dyDescent="0.3">
      <c r="A17" s="554" t="s">
        <v>70</v>
      </c>
      <c r="B17" s="555"/>
      <c r="C17" s="555"/>
      <c r="D17" s="556"/>
      <c r="E17" s="497">
        <f>SUM(E18:E21)</f>
        <v>0.08</v>
      </c>
      <c r="F17" s="273" t="s">
        <v>71</v>
      </c>
      <c r="H17" s="288">
        <f>+I3</f>
        <v>4</v>
      </c>
      <c r="I17" s="263">
        <f>H17/H10</f>
        <v>0.4</v>
      </c>
    </row>
    <row r="18" spans="1:9" x14ac:dyDescent="0.3">
      <c r="A18" s="282" t="s">
        <v>72</v>
      </c>
      <c r="B18" s="283"/>
      <c r="C18" s="284"/>
      <c r="D18" s="285"/>
      <c r="E18" s="495">
        <v>0.03</v>
      </c>
      <c r="F18" s="261" t="str">
        <f>A9</f>
        <v>Imperfeitos</v>
      </c>
      <c r="H18" s="262">
        <f>+H17*I18</f>
        <v>0</v>
      </c>
      <c r="I18" s="263">
        <f>E9</f>
        <v>0</v>
      </c>
    </row>
    <row r="19" spans="1:9" x14ac:dyDescent="0.3">
      <c r="A19" s="282" t="s">
        <v>73</v>
      </c>
      <c r="B19" s="283"/>
      <c r="C19" s="284"/>
      <c r="D19" s="285"/>
      <c r="E19" s="495">
        <v>0</v>
      </c>
      <c r="F19" s="245" t="s">
        <v>74</v>
      </c>
      <c r="G19" s="135"/>
      <c r="H19" s="269">
        <f>H16-H17-H18</f>
        <v>5.286999999999999</v>
      </c>
      <c r="I19" s="287">
        <f>H19/H10</f>
        <v>0.52869999999999995</v>
      </c>
    </row>
    <row r="20" spans="1:9" x14ac:dyDescent="0.3">
      <c r="A20" s="282" t="s">
        <v>75</v>
      </c>
      <c r="B20" s="283"/>
      <c r="C20" s="284"/>
      <c r="D20" s="285"/>
      <c r="E20" s="495">
        <v>0.05</v>
      </c>
      <c r="F20" s="273" t="s">
        <v>76</v>
      </c>
      <c r="H20" s="274">
        <f>SUM(H21:H25)</f>
        <v>0.8</v>
      </c>
      <c r="I20" s="275">
        <f>H20/H10</f>
        <v>0.08</v>
      </c>
    </row>
    <row r="21" spans="1:9" x14ac:dyDescent="0.3">
      <c r="A21" s="282" t="s">
        <v>77</v>
      </c>
      <c r="B21" s="283"/>
      <c r="C21" s="284"/>
      <c r="D21" s="285"/>
      <c r="E21" s="495">
        <v>0</v>
      </c>
      <c r="F21" s="261" t="str">
        <f>A18</f>
        <v>Cartão de Crédito</v>
      </c>
      <c r="H21" s="262">
        <f>$H$10*I21</f>
        <v>0.3</v>
      </c>
      <c r="I21" s="281">
        <f>E18</f>
        <v>0.03</v>
      </c>
    </row>
    <row r="22" spans="1:9" x14ac:dyDescent="0.3">
      <c r="A22" s="282" t="s">
        <v>78</v>
      </c>
      <c r="B22" s="283"/>
      <c r="C22" s="284"/>
      <c r="D22" s="285"/>
      <c r="E22" s="495">
        <v>0</v>
      </c>
      <c r="F22" s="261" t="str">
        <f>A19</f>
        <v>Frete</v>
      </c>
      <c r="H22" s="262">
        <f>$H$10*I22</f>
        <v>0</v>
      </c>
      <c r="I22" s="281">
        <f>E19</f>
        <v>0</v>
      </c>
    </row>
    <row r="23" spans="1:9" x14ac:dyDescent="0.3">
      <c r="A23" s="289" t="s">
        <v>79</v>
      </c>
      <c r="B23" s="290"/>
      <c r="C23" s="290"/>
      <c r="D23" s="291"/>
      <c r="E23" s="498">
        <f>SUM(E24:E26)</f>
        <v>0.35780000000000001</v>
      </c>
      <c r="F23" s="261" t="str">
        <f>A20</f>
        <v>Comissão</v>
      </c>
      <c r="H23" s="262">
        <f>$H$10*I23</f>
        <v>0.5</v>
      </c>
      <c r="I23" s="281">
        <f>E20</f>
        <v>0.05</v>
      </c>
    </row>
    <row r="24" spans="1:9" x14ac:dyDescent="0.3">
      <c r="A24" s="282" t="s">
        <v>80</v>
      </c>
      <c r="B24" s="283"/>
      <c r="C24" s="284"/>
      <c r="D24" s="285"/>
      <c r="E24" s="495">
        <v>0.35780000000000001</v>
      </c>
      <c r="F24" s="261" t="str">
        <f>A21</f>
        <v>Prov. Dev Duv</v>
      </c>
      <c r="H24" s="262">
        <f>$H$10*I24</f>
        <v>0</v>
      </c>
      <c r="I24" s="281">
        <f>E21</f>
        <v>0</v>
      </c>
    </row>
    <row r="25" spans="1:9" x14ac:dyDescent="0.3">
      <c r="A25" s="292" t="s">
        <v>0</v>
      </c>
      <c r="B25" s="283"/>
      <c r="C25" s="284"/>
      <c r="D25" s="285"/>
      <c r="E25" s="495">
        <v>0</v>
      </c>
      <c r="F25" s="261" t="str">
        <f>A22</f>
        <v>Royalties</v>
      </c>
      <c r="H25" s="262">
        <f>H10*(I25*(1-I12-I13-I14-I15))</f>
        <v>0</v>
      </c>
      <c r="I25" s="281">
        <f>E22</f>
        <v>0</v>
      </c>
    </row>
    <row r="26" spans="1:9" x14ac:dyDescent="0.3">
      <c r="A26" s="293" t="s">
        <v>0</v>
      </c>
      <c r="B26" s="266"/>
      <c r="C26" s="294"/>
      <c r="D26" s="267"/>
      <c r="E26" s="268">
        <v>0</v>
      </c>
      <c r="F26" s="295" t="s">
        <v>81</v>
      </c>
      <c r="G26" s="135"/>
      <c r="H26" s="269">
        <f>H19-H20</f>
        <v>4.4869999999999992</v>
      </c>
      <c r="I26" s="287">
        <f>H26/H10</f>
        <v>0.44869999999999993</v>
      </c>
    </row>
    <row r="27" spans="1:9" x14ac:dyDescent="0.3">
      <c r="F27" s="296" t="str">
        <f>A24</f>
        <v>Despesa Fixa</v>
      </c>
      <c r="H27" s="262">
        <f>$H$10*I27</f>
        <v>3.5780000000000003</v>
      </c>
      <c r="I27" s="281">
        <f>E24</f>
        <v>0.35780000000000001</v>
      </c>
    </row>
    <row r="28" spans="1:9" x14ac:dyDescent="0.3">
      <c r="F28" s="296" t="str">
        <f>A25</f>
        <v xml:space="preserve"> </v>
      </c>
      <c r="H28" s="262">
        <f>$H$10*I28</f>
        <v>0</v>
      </c>
      <c r="I28" s="281">
        <f>E25</f>
        <v>0</v>
      </c>
    </row>
    <row r="29" spans="1:9" x14ac:dyDescent="0.3">
      <c r="F29" s="296" t="str">
        <f>A26</f>
        <v xml:space="preserve"> </v>
      </c>
      <c r="H29" s="262">
        <f>$H$10*I29</f>
        <v>0</v>
      </c>
      <c r="I29" s="281">
        <f>E26</f>
        <v>0</v>
      </c>
    </row>
    <row r="30" spans="1:9" x14ac:dyDescent="0.3">
      <c r="F30" s="295" t="s">
        <v>82</v>
      </c>
      <c r="G30" s="135"/>
      <c r="H30" s="269">
        <f>H26-H27-H28-H29</f>
        <v>0.90899999999999892</v>
      </c>
      <c r="I30" s="287">
        <f>H30/H10</f>
        <v>9.0899999999999898E-2</v>
      </c>
    </row>
    <row r="31" spans="1:9" x14ac:dyDescent="0.3">
      <c r="F31" s="295" t="s">
        <v>83</v>
      </c>
      <c r="G31" s="135"/>
      <c r="H31" s="269">
        <f>H32</f>
        <v>0</v>
      </c>
      <c r="I31" s="287">
        <f>H31/H10</f>
        <v>0</v>
      </c>
    </row>
    <row r="32" spans="1:9" x14ac:dyDescent="0.3">
      <c r="F32" s="296" t="s">
        <v>84</v>
      </c>
      <c r="H32" s="262">
        <f>IF(G8=1,(H17+H18)*(((1+D8)^((H6)/30))-1),(H17+H18)*(((1+D8)^((#REF!*30)/30))-1))</f>
        <v>0</v>
      </c>
      <c r="I32" s="281">
        <f>E28</f>
        <v>0</v>
      </c>
    </row>
    <row r="33" spans="6:9" x14ac:dyDescent="0.3">
      <c r="F33" s="297" t="s">
        <v>85</v>
      </c>
      <c r="G33" s="298"/>
      <c r="H33" s="299">
        <f>H30-H31</f>
        <v>0.90899999999999892</v>
      </c>
      <c r="I33" s="300">
        <f>H33/H10</f>
        <v>9.0899999999999898E-2</v>
      </c>
    </row>
  </sheetData>
  <mergeCells count="11">
    <mergeCell ref="A1:I1"/>
    <mergeCell ref="C2:E2"/>
    <mergeCell ref="F2:I2"/>
    <mergeCell ref="A3:H3"/>
    <mergeCell ref="A4:E4"/>
    <mergeCell ref="F4:I4"/>
    <mergeCell ref="A7:B7"/>
    <mergeCell ref="F7:G7"/>
    <mergeCell ref="A17:D17"/>
    <mergeCell ref="A5:C5"/>
    <mergeCell ref="F5:G5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showGridLines="0" zoomScale="142" zoomScaleNormal="142" workbookViewId="0">
      <selection sqref="A1:F1"/>
    </sheetView>
  </sheetViews>
  <sheetFormatPr defaultRowHeight="14.4" x14ac:dyDescent="0.3"/>
  <cols>
    <col min="1" max="1" width="40.44140625" customWidth="1"/>
    <col min="2" max="2" width="10.88671875" customWidth="1"/>
    <col min="3" max="3" width="10.5546875" customWidth="1"/>
    <col min="5" max="5" width="11.6640625" bestFit="1" customWidth="1"/>
  </cols>
  <sheetData>
    <row r="1" spans="1:6" x14ac:dyDescent="0.3">
      <c r="A1" s="570" t="s">
        <v>86</v>
      </c>
      <c r="B1" s="571"/>
      <c r="C1" s="571"/>
      <c r="D1" s="571"/>
      <c r="E1" s="571"/>
      <c r="F1" s="571"/>
    </row>
    <row r="2" spans="1:6" x14ac:dyDescent="0.3">
      <c r="A2" s="572" t="s">
        <v>87</v>
      </c>
      <c r="B2" s="573" t="s">
        <v>88</v>
      </c>
      <c r="C2" s="573"/>
      <c r="D2" s="573"/>
      <c r="E2" s="573"/>
      <c r="F2" s="573"/>
    </row>
    <row r="3" spans="1:6" x14ac:dyDescent="0.3">
      <c r="A3" s="572"/>
      <c r="B3" s="225" t="s">
        <v>89</v>
      </c>
      <c r="C3" s="225" t="s">
        <v>90</v>
      </c>
      <c r="D3" s="225" t="s">
        <v>91</v>
      </c>
      <c r="E3" s="225" t="s">
        <v>92</v>
      </c>
      <c r="F3" s="225" t="s">
        <v>93</v>
      </c>
    </row>
    <row r="4" spans="1:6" x14ac:dyDescent="0.3">
      <c r="A4" s="226" t="s">
        <v>60</v>
      </c>
      <c r="B4" s="227">
        <v>0</v>
      </c>
      <c r="C4" s="227">
        <v>0</v>
      </c>
      <c r="D4" s="227">
        <v>0</v>
      </c>
      <c r="E4" s="227">
        <v>0</v>
      </c>
      <c r="F4" s="227">
        <v>0</v>
      </c>
    </row>
    <row r="5" spans="1:6" x14ac:dyDescent="0.3">
      <c r="A5" s="456" t="s">
        <v>94</v>
      </c>
      <c r="B5" s="457">
        <v>0</v>
      </c>
      <c r="C5" s="457">
        <v>0</v>
      </c>
      <c r="D5" s="457">
        <v>0</v>
      </c>
      <c r="E5" s="457">
        <v>0</v>
      </c>
      <c r="F5" s="457">
        <v>0</v>
      </c>
    </row>
    <row r="6" spans="1:6" x14ac:dyDescent="0.3">
      <c r="A6" s="226" t="s">
        <v>61</v>
      </c>
      <c r="B6" s="227">
        <v>0</v>
      </c>
      <c r="C6" s="227">
        <v>0</v>
      </c>
      <c r="D6" s="227">
        <v>0.05</v>
      </c>
      <c r="E6" s="227">
        <v>0</v>
      </c>
      <c r="F6" s="227">
        <v>0</v>
      </c>
    </row>
    <row r="7" spans="1:6" x14ac:dyDescent="0.3">
      <c r="A7" s="226" t="s">
        <v>95</v>
      </c>
      <c r="B7" s="228">
        <v>60</v>
      </c>
      <c r="C7" s="228">
        <v>60</v>
      </c>
      <c r="D7" s="228">
        <v>60</v>
      </c>
      <c r="E7" s="228">
        <v>60</v>
      </c>
      <c r="F7" s="228">
        <v>60</v>
      </c>
    </row>
    <row r="8" spans="1:6" x14ac:dyDescent="0.3">
      <c r="A8" s="226" t="s">
        <v>80</v>
      </c>
      <c r="B8" s="227">
        <v>0.35780000000000001</v>
      </c>
      <c r="C8" s="227">
        <v>0.35780000000000001</v>
      </c>
      <c r="D8" s="227">
        <v>0.35780000000000001</v>
      </c>
      <c r="E8" s="227">
        <v>0.35780000000000001</v>
      </c>
      <c r="F8" s="227">
        <v>0.35780000000000001</v>
      </c>
    </row>
    <row r="9" spans="1:6" x14ac:dyDescent="0.3">
      <c r="A9" s="226" t="s">
        <v>73</v>
      </c>
      <c r="B9" s="227">
        <v>0</v>
      </c>
      <c r="C9" s="227">
        <v>0</v>
      </c>
      <c r="D9" s="227">
        <v>0</v>
      </c>
      <c r="E9" s="227">
        <v>0</v>
      </c>
      <c r="F9" s="227">
        <v>0</v>
      </c>
    </row>
    <row r="10" spans="1:6" x14ac:dyDescent="0.3">
      <c r="A10" s="226" t="s">
        <v>75</v>
      </c>
      <c r="B10" s="227">
        <v>0.05</v>
      </c>
      <c r="C10" s="227">
        <v>0.05</v>
      </c>
      <c r="D10" s="227">
        <v>0.05</v>
      </c>
      <c r="E10" s="227">
        <v>0.05</v>
      </c>
      <c r="F10" s="227">
        <v>0.05</v>
      </c>
    </row>
    <row r="11" spans="1:6" x14ac:dyDescent="0.3">
      <c r="A11" s="226" t="s">
        <v>96</v>
      </c>
      <c r="B11" s="227">
        <v>0</v>
      </c>
      <c r="C11" s="227">
        <v>0</v>
      </c>
      <c r="D11" s="227">
        <v>0</v>
      </c>
      <c r="E11" s="227">
        <v>0</v>
      </c>
      <c r="F11" s="227">
        <v>0</v>
      </c>
    </row>
    <row r="12" spans="1:6" x14ac:dyDescent="0.3">
      <c r="A12" s="476" t="s">
        <v>72</v>
      </c>
      <c r="B12" s="227">
        <v>0.03</v>
      </c>
      <c r="C12" s="227">
        <v>0.03</v>
      </c>
      <c r="D12" s="227">
        <v>0.03</v>
      </c>
      <c r="E12" s="227">
        <v>0.03</v>
      </c>
      <c r="F12" s="227">
        <v>0.03</v>
      </c>
    </row>
    <row r="13" spans="1:6" x14ac:dyDescent="0.3">
      <c r="A13" s="226" t="s">
        <v>78</v>
      </c>
      <c r="B13" s="227">
        <v>0</v>
      </c>
      <c r="C13" s="227">
        <v>0</v>
      </c>
      <c r="D13" s="227">
        <v>0</v>
      </c>
      <c r="E13" s="227">
        <v>0</v>
      </c>
      <c r="F13" s="227">
        <v>0</v>
      </c>
    </row>
    <row r="14" spans="1:6" x14ac:dyDescent="0.3">
      <c r="A14" s="226" t="s">
        <v>65</v>
      </c>
      <c r="B14" s="227">
        <v>0</v>
      </c>
      <c r="C14" s="227">
        <v>0</v>
      </c>
      <c r="D14" s="227">
        <v>0</v>
      </c>
      <c r="E14" s="227">
        <v>0</v>
      </c>
      <c r="F14" s="227">
        <v>0</v>
      </c>
    </row>
    <row r="15" spans="1:6" x14ac:dyDescent="0.3">
      <c r="A15" s="226" t="s">
        <v>66</v>
      </c>
      <c r="B15" s="227">
        <v>0</v>
      </c>
      <c r="C15" s="227">
        <v>0</v>
      </c>
      <c r="D15" s="227">
        <v>0</v>
      </c>
      <c r="E15" s="227">
        <v>0</v>
      </c>
      <c r="F15" s="227">
        <v>0</v>
      </c>
    </row>
    <row r="16" spans="1:6" x14ac:dyDescent="0.3">
      <c r="A16" s="226" t="s">
        <v>67</v>
      </c>
      <c r="B16" s="227">
        <v>0</v>
      </c>
      <c r="C16" s="227">
        <v>0</v>
      </c>
      <c r="D16" s="227">
        <v>0</v>
      </c>
      <c r="E16" s="227">
        <v>0</v>
      </c>
      <c r="F16" s="227">
        <v>0</v>
      </c>
    </row>
    <row r="17" spans="1:6" x14ac:dyDescent="0.3">
      <c r="A17" s="226" t="s">
        <v>97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</row>
    <row r="18" spans="1:6" x14ac:dyDescent="0.3">
      <c r="A18" s="226" t="s">
        <v>98</v>
      </c>
      <c r="B18" s="229">
        <v>7.0999999999999994E-2</v>
      </c>
      <c r="C18" s="229">
        <v>7.0999999999999994E-2</v>
      </c>
      <c r="D18" s="229">
        <v>7.0999999999999994E-2</v>
      </c>
      <c r="E18" s="229">
        <v>7.0999999999999994E-2</v>
      </c>
      <c r="F18" s="229">
        <v>7.0999999999999994E-2</v>
      </c>
    </row>
    <row r="19" spans="1:6" x14ac:dyDescent="0.3">
      <c r="A19" s="226" t="s">
        <v>99</v>
      </c>
      <c r="B19" s="227">
        <v>0</v>
      </c>
      <c r="C19" s="227">
        <v>0</v>
      </c>
      <c r="D19" s="227">
        <v>0</v>
      </c>
      <c r="E19" s="227">
        <v>0</v>
      </c>
      <c r="F19" s="227">
        <v>0</v>
      </c>
    </row>
    <row r="20" spans="1:6" x14ac:dyDescent="0.3">
      <c r="A20" s="226" t="s">
        <v>56</v>
      </c>
      <c r="B20" s="457">
        <v>0.1</v>
      </c>
      <c r="C20" s="457">
        <v>0.15</v>
      </c>
      <c r="D20" s="457">
        <v>0.2</v>
      </c>
      <c r="E20" s="457">
        <v>0.25</v>
      </c>
      <c r="F20" s="457">
        <v>0.3</v>
      </c>
    </row>
    <row r="21" spans="1:6" x14ac:dyDescent="0.3">
      <c r="A21" s="230" t="s">
        <v>3</v>
      </c>
      <c r="B21" s="313">
        <f>(((((1+B4)/(1-(+B8+B9+B10+B11+B12+B13+B14+B15+B16+B17+B18+B19+B20+(B13*(1-(B14+B15+B16+B19)))))*((1+B5)^(B7/30))))))/(1-B6)</f>
        <v>2.5562372188139051</v>
      </c>
      <c r="C21" s="313">
        <f>(((((1+C4)/(1-(+C8+C9+C10+C11+C12+C13+C14+C15+C16+C17+C18+C19+C20+(C13*(1-(C14+C15+C16+C19)))))*((1+C5)^(C7/30))))))/(1-C6)</f>
        <v>2.9308323563892142</v>
      </c>
      <c r="D21" s="313">
        <f>(((((1+D4)/(1-(+D8+D9+D10+D11+D12+D13+D14+D15+D16+D17+D18+D19+D20+(D13*(1-(D14+D15+D16+D19)))))*((1+D5)^(D7/30))))))/(1-D6)</f>
        <v>3.6148062463851924</v>
      </c>
      <c r="E21" s="313">
        <f>(((((1+E4)/(1-(+E8+E9+E10+E11+E12+E13+E14+E15+E16+E17+E18+E19+E20+(E13*(1-(E14+E15+E16+E19)))))*((1+E5)^(E7/30))))))/(1-E6)</f>
        <v>4.1459369817578757</v>
      </c>
      <c r="F21" s="313">
        <f>(((((1+F4)/(1-(+F8+F9+F10+F11+F12+F13+F14+F15+F16+F17+F18+F19+F20+(F13*(1-(F14+F15+F16+F19)))))*((1+F5)^(F7/30))))))/(1-F6)</f>
        <v>5.2301255230125516</v>
      </c>
    </row>
    <row r="22" spans="1:6" x14ac:dyDescent="0.3">
      <c r="B22" s="312">
        <v>4</v>
      </c>
      <c r="C22" s="312">
        <v>4</v>
      </c>
      <c r="D22" s="312">
        <v>4</v>
      </c>
      <c r="E22" s="312">
        <v>4</v>
      </c>
      <c r="F22" s="312">
        <v>4</v>
      </c>
    </row>
    <row r="23" spans="1:6" x14ac:dyDescent="0.3">
      <c r="B23" s="458">
        <f>+B21*B22</f>
        <v>10.22494887525562</v>
      </c>
      <c r="C23" s="458">
        <f t="shared" ref="C23:F23" si="0">+C21*C22</f>
        <v>11.723329425556857</v>
      </c>
      <c r="D23" s="458">
        <f t="shared" si="0"/>
        <v>14.45922498554077</v>
      </c>
      <c r="E23" s="458">
        <f t="shared" si="0"/>
        <v>16.583747927031503</v>
      </c>
      <c r="F23" s="458">
        <f t="shared" si="0"/>
        <v>20.920502092050206</v>
      </c>
    </row>
  </sheetData>
  <mergeCells count="3">
    <mergeCell ref="A1:F1"/>
    <mergeCell ref="A2:A3"/>
    <mergeCell ref="B2:F2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42"/>
  <sheetViews>
    <sheetView showGridLines="0" zoomScale="160" zoomScaleNormal="160" workbookViewId="0">
      <selection activeCell="C22" sqref="C22"/>
    </sheetView>
  </sheetViews>
  <sheetFormatPr defaultRowHeight="14.4" x14ac:dyDescent="0.3"/>
  <cols>
    <col min="1" max="1" width="34.33203125" customWidth="1"/>
  </cols>
  <sheetData>
    <row r="1" spans="1:7" x14ac:dyDescent="0.3">
      <c r="A1" s="574">
        <v>6</v>
      </c>
      <c r="B1" s="575"/>
      <c r="C1" s="575"/>
      <c r="D1" s="575"/>
      <c r="E1" s="575"/>
      <c r="F1" s="575"/>
      <c r="G1" s="575"/>
    </row>
    <row r="2" spans="1:7" x14ac:dyDescent="0.3">
      <c r="A2" s="215" t="s">
        <v>100</v>
      </c>
      <c r="B2" s="216" t="s">
        <v>101</v>
      </c>
      <c r="C2" s="216" t="s">
        <v>102</v>
      </c>
      <c r="D2" s="216" t="s">
        <v>11</v>
      </c>
      <c r="E2" s="216" t="s">
        <v>103</v>
      </c>
      <c r="F2" s="216" t="s">
        <v>104</v>
      </c>
      <c r="G2" s="216" t="s">
        <v>105</v>
      </c>
    </row>
    <row r="3" spans="1:7" x14ac:dyDescent="0.3">
      <c r="A3" s="217" t="s">
        <v>106</v>
      </c>
      <c r="B3" s="218">
        <v>0.03</v>
      </c>
      <c r="C3" s="218">
        <v>5.5E-2</v>
      </c>
      <c r="D3" s="218">
        <v>0</v>
      </c>
      <c r="E3" s="219">
        <v>0.2</v>
      </c>
      <c r="F3" s="219">
        <v>0.2</v>
      </c>
      <c r="G3" s="219">
        <v>0.2</v>
      </c>
    </row>
    <row r="4" spans="1:7" x14ac:dyDescent="0.3">
      <c r="A4" s="217" t="s">
        <v>107</v>
      </c>
      <c r="B4" s="218">
        <v>0</v>
      </c>
      <c r="C4" s="218">
        <v>0</v>
      </c>
      <c r="D4" s="218">
        <v>0</v>
      </c>
      <c r="E4" s="219">
        <v>0.01</v>
      </c>
      <c r="F4" s="219">
        <v>0</v>
      </c>
      <c r="G4" s="219">
        <v>0</v>
      </c>
    </row>
    <row r="5" spans="1:7" x14ac:dyDescent="0.3">
      <c r="A5" s="217" t="s">
        <v>108</v>
      </c>
      <c r="B5" s="218">
        <v>0</v>
      </c>
      <c r="C5" s="218">
        <v>0</v>
      </c>
      <c r="D5" s="218">
        <v>0</v>
      </c>
      <c r="E5" s="219">
        <v>1.4999999999999999E-2</v>
      </c>
      <c r="F5" s="219">
        <v>0</v>
      </c>
      <c r="G5" s="219">
        <v>0</v>
      </c>
    </row>
    <row r="6" spans="1:7" x14ac:dyDescent="0.3">
      <c r="A6" s="217" t="s">
        <v>109</v>
      </c>
      <c r="B6" s="218">
        <v>0</v>
      </c>
      <c r="C6" s="218">
        <v>0</v>
      </c>
      <c r="D6" s="218">
        <v>0</v>
      </c>
      <c r="E6" s="219">
        <v>0</v>
      </c>
      <c r="F6" s="219">
        <v>0.01</v>
      </c>
      <c r="G6" s="219">
        <v>0</v>
      </c>
    </row>
    <row r="7" spans="1:7" x14ac:dyDescent="0.3">
      <c r="A7" s="217" t="s">
        <v>110</v>
      </c>
      <c r="B7" s="218">
        <v>0</v>
      </c>
      <c r="C7" s="218">
        <v>0</v>
      </c>
      <c r="D7" s="218">
        <v>0</v>
      </c>
      <c r="E7" s="219">
        <v>0</v>
      </c>
      <c r="F7" s="219">
        <v>1.4999999999999999E-2</v>
      </c>
      <c r="G7" s="219">
        <v>0</v>
      </c>
    </row>
    <row r="8" spans="1:7" x14ac:dyDescent="0.3">
      <c r="A8" s="217" t="s">
        <v>111</v>
      </c>
      <c r="B8" s="218">
        <v>0</v>
      </c>
      <c r="C8" s="218">
        <v>0</v>
      </c>
      <c r="D8" s="218">
        <v>0</v>
      </c>
      <c r="E8" s="219">
        <v>2E-3</v>
      </c>
      <c r="F8" s="219">
        <v>2E-3</v>
      </c>
      <c r="G8" s="219">
        <v>0</v>
      </c>
    </row>
    <row r="9" spans="1:7" x14ac:dyDescent="0.3">
      <c r="A9" s="217" t="s">
        <v>112</v>
      </c>
      <c r="B9" s="218">
        <v>0</v>
      </c>
      <c r="C9" s="218">
        <v>0</v>
      </c>
      <c r="D9" s="218">
        <v>0</v>
      </c>
      <c r="E9" s="219">
        <v>3.0000000000000001E-3</v>
      </c>
      <c r="F9" s="219">
        <v>3.0000000000000001E-3</v>
      </c>
      <c r="G9" s="219">
        <v>0</v>
      </c>
    </row>
    <row r="10" spans="1:7" x14ac:dyDescent="0.3">
      <c r="A10" s="217" t="s">
        <v>113</v>
      </c>
      <c r="B10" s="218">
        <v>0</v>
      </c>
      <c r="C10" s="218">
        <v>0</v>
      </c>
      <c r="D10" s="218">
        <v>0</v>
      </c>
      <c r="E10" s="219">
        <v>2.5000000000000001E-2</v>
      </c>
      <c r="F10" s="219">
        <v>2.5000000000000001E-2</v>
      </c>
      <c r="G10" s="219">
        <v>0</v>
      </c>
    </row>
    <row r="11" spans="1:7" x14ac:dyDescent="0.3">
      <c r="A11" s="217" t="s">
        <v>114</v>
      </c>
      <c r="B11" s="218">
        <v>0</v>
      </c>
      <c r="C11" s="218">
        <v>0</v>
      </c>
      <c r="D11" s="218">
        <v>0</v>
      </c>
      <c r="E11" s="219">
        <v>0.01</v>
      </c>
      <c r="F11" s="219">
        <v>0.01</v>
      </c>
      <c r="G11" s="219">
        <v>0</v>
      </c>
    </row>
    <row r="12" spans="1:7" x14ac:dyDescent="0.3">
      <c r="A12" s="220" t="s">
        <v>115</v>
      </c>
      <c r="B12" s="221">
        <f t="shared" ref="B12:G12" si="0">SUM(B3:B11)</f>
        <v>0.03</v>
      </c>
      <c r="C12" s="221">
        <f t="shared" si="0"/>
        <v>5.5E-2</v>
      </c>
      <c r="D12" s="221">
        <f t="shared" si="0"/>
        <v>0</v>
      </c>
      <c r="E12" s="221">
        <f t="shared" si="0"/>
        <v>0.26500000000000007</v>
      </c>
      <c r="F12" s="221">
        <f t="shared" si="0"/>
        <v>0.26500000000000007</v>
      </c>
      <c r="G12" s="221">
        <f t="shared" si="0"/>
        <v>0.2</v>
      </c>
    </row>
    <row r="13" spans="1:7" x14ac:dyDescent="0.3">
      <c r="A13" s="217" t="s">
        <v>116</v>
      </c>
      <c r="B13" s="217"/>
      <c r="C13" s="217"/>
      <c r="D13" s="217"/>
      <c r="E13" s="217"/>
      <c r="F13" s="217"/>
      <c r="G13" s="217"/>
    </row>
    <row r="14" spans="1:7" x14ac:dyDescent="0.3">
      <c r="A14" s="217" t="s">
        <v>117</v>
      </c>
      <c r="B14" s="499">
        <f>1/12</f>
        <v>8.3333333333333329E-2</v>
      </c>
      <c r="C14" s="499">
        <f>1/12</f>
        <v>8.3333333333333329E-2</v>
      </c>
      <c r="D14" s="499">
        <f>1/12</f>
        <v>8.3333333333333329E-2</v>
      </c>
      <c r="E14" s="500">
        <f>1/12</f>
        <v>8.3333333333333329E-2</v>
      </c>
      <c r="F14" s="500">
        <f>1/12</f>
        <v>8.3333333333333329E-2</v>
      </c>
      <c r="G14" s="500">
        <v>0</v>
      </c>
    </row>
    <row r="15" spans="1:7" x14ac:dyDescent="0.3">
      <c r="A15" s="220" t="s">
        <v>115</v>
      </c>
      <c r="B15" s="221">
        <f t="shared" ref="B15:G15" si="1">SUM(B14:B14)</f>
        <v>8.3333333333333329E-2</v>
      </c>
      <c r="C15" s="221">
        <f t="shared" si="1"/>
        <v>8.3333333333333329E-2</v>
      </c>
      <c r="D15" s="221">
        <f t="shared" si="1"/>
        <v>8.3333333333333329E-2</v>
      </c>
      <c r="E15" s="221">
        <f t="shared" si="1"/>
        <v>8.3333333333333329E-2</v>
      </c>
      <c r="F15" s="221">
        <f t="shared" si="1"/>
        <v>8.3333333333333329E-2</v>
      </c>
      <c r="G15" s="221">
        <f t="shared" si="1"/>
        <v>0</v>
      </c>
    </row>
    <row r="16" spans="1:7" x14ac:dyDescent="0.3">
      <c r="A16" s="217" t="s">
        <v>118</v>
      </c>
      <c r="B16" s="217"/>
      <c r="C16" s="217"/>
      <c r="D16" s="217"/>
      <c r="E16" s="217"/>
      <c r="F16" s="217"/>
      <c r="G16" s="217"/>
    </row>
    <row r="17" spans="1:7" x14ac:dyDescent="0.3">
      <c r="A17" s="217" t="s">
        <v>119</v>
      </c>
      <c r="B17" s="499">
        <f>1/12</f>
        <v>8.3333333333333329E-2</v>
      </c>
      <c r="C17" s="499">
        <f>1/12</f>
        <v>8.3333333333333329E-2</v>
      </c>
      <c r="D17" s="499">
        <f>1/12</f>
        <v>8.3333333333333329E-2</v>
      </c>
      <c r="E17" s="500">
        <f>1/12</f>
        <v>8.3333333333333329E-2</v>
      </c>
      <c r="F17" s="500">
        <f>1/12</f>
        <v>8.3333333333333329E-2</v>
      </c>
      <c r="G17" s="500">
        <v>0</v>
      </c>
    </row>
    <row r="18" spans="1:7" x14ac:dyDescent="0.3">
      <c r="A18" s="217" t="s">
        <v>120</v>
      </c>
      <c r="B18" s="499">
        <f t="shared" ref="B18:G18" si="2">B17*33%</f>
        <v>2.75E-2</v>
      </c>
      <c r="C18" s="499">
        <f t="shared" si="2"/>
        <v>2.75E-2</v>
      </c>
      <c r="D18" s="499">
        <f t="shared" si="2"/>
        <v>2.75E-2</v>
      </c>
      <c r="E18" s="500">
        <f t="shared" si="2"/>
        <v>2.75E-2</v>
      </c>
      <c r="F18" s="500">
        <f t="shared" si="2"/>
        <v>2.75E-2</v>
      </c>
      <c r="G18" s="500">
        <f t="shared" si="2"/>
        <v>0</v>
      </c>
    </row>
    <row r="19" spans="1:7" x14ac:dyDescent="0.3">
      <c r="A19" s="220" t="s">
        <v>115</v>
      </c>
      <c r="B19" s="221">
        <f t="shared" ref="B19:G19" si="3">SUM(B17:B18)</f>
        <v>0.11083333333333333</v>
      </c>
      <c r="C19" s="221">
        <f t="shared" si="3"/>
        <v>0.11083333333333333</v>
      </c>
      <c r="D19" s="221">
        <f t="shared" si="3"/>
        <v>0.11083333333333333</v>
      </c>
      <c r="E19" s="221">
        <f t="shared" si="3"/>
        <v>0.11083333333333333</v>
      </c>
      <c r="F19" s="221">
        <f t="shared" si="3"/>
        <v>0.11083333333333333</v>
      </c>
      <c r="G19" s="221">
        <f t="shared" si="3"/>
        <v>0</v>
      </c>
    </row>
    <row r="20" spans="1:7" x14ac:dyDescent="0.3">
      <c r="A20" s="217" t="s">
        <v>121</v>
      </c>
      <c r="B20" s="217"/>
      <c r="C20" s="217"/>
      <c r="D20" s="217"/>
      <c r="E20" s="217"/>
      <c r="F20" s="217"/>
      <c r="G20" s="217"/>
    </row>
    <row r="21" spans="1:7" x14ac:dyDescent="0.3">
      <c r="A21" s="217" t="s">
        <v>122</v>
      </c>
      <c r="B21" s="218">
        <v>0.08</v>
      </c>
      <c r="C21" s="218">
        <v>0.08</v>
      </c>
      <c r="D21" s="218">
        <v>0.08</v>
      </c>
      <c r="E21" s="219">
        <v>0.08</v>
      </c>
      <c r="F21" s="219">
        <v>0.08</v>
      </c>
      <c r="G21" s="219">
        <v>0</v>
      </c>
    </row>
    <row r="22" spans="1:7" x14ac:dyDescent="0.3">
      <c r="A22" s="220" t="s">
        <v>115</v>
      </c>
      <c r="B22" s="221">
        <f t="shared" ref="B22:G22" si="4">SUM(B21:B21)</f>
        <v>0.08</v>
      </c>
      <c r="C22" s="221">
        <f t="shared" si="4"/>
        <v>0.08</v>
      </c>
      <c r="D22" s="221">
        <f t="shared" si="4"/>
        <v>0.08</v>
      </c>
      <c r="E22" s="221">
        <f t="shared" si="4"/>
        <v>0.08</v>
      </c>
      <c r="F22" s="221">
        <f t="shared" si="4"/>
        <v>0.08</v>
      </c>
      <c r="G22" s="221">
        <f t="shared" si="4"/>
        <v>0</v>
      </c>
    </row>
    <row r="23" spans="1:7" x14ac:dyDescent="0.3">
      <c r="A23" s="217" t="s">
        <v>123</v>
      </c>
      <c r="B23" s="499"/>
      <c r="C23" s="499"/>
      <c r="D23" s="499"/>
      <c r="E23" s="499"/>
      <c r="F23" s="499"/>
      <c r="G23" s="499"/>
    </row>
    <row r="24" spans="1:7" x14ac:dyDescent="0.3">
      <c r="A24" s="217" t="s">
        <v>124</v>
      </c>
      <c r="B24" s="499">
        <f t="shared" ref="B24:G24" si="5">+B15*B12</f>
        <v>2.4999999999999996E-3</v>
      </c>
      <c r="C24" s="499">
        <f t="shared" si="5"/>
        <v>4.5833333333333334E-3</v>
      </c>
      <c r="D24" s="499">
        <f t="shared" si="5"/>
        <v>0</v>
      </c>
      <c r="E24" s="500">
        <f t="shared" si="5"/>
        <v>2.2083333333333337E-2</v>
      </c>
      <c r="F24" s="500">
        <f t="shared" si="5"/>
        <v>2.2083333333333337E-2</v>
      </c>
      <c r="G24" s="500">
        <f t="shared" si="5"/>
        <v>0</v>
      </c>
    </row>
    <row r="25" spans="1:7" x14ac:dyDescent="0.3">
      <c r="A25" s="217" t="s">
        <v>125</v>
      </c>
      <c r="B25" s="499">
        <f t="shared" ref="B25:G25" si="6">+B19*B12</f>
        <v>3.3249999999999998E-3</v>
      </c>
      <c r="C25" s="499">
        <f t="shared" si="6"/>
        <v>6.0958333333333333E-3</v>
      </c>
      <c r="D25" s="499">
        <f t="shared" si="6"/>
        <v>0</v>
      </c>
      <c r="E25" s="500">
        <f t="shared" si="6"/>
        <v>2.9370833333333339E-2</v>
      </c>
      <c r="F25" s="500">
        <f t="shared" si="6"/>
        <v>2.9370833333333339E-2</v>
      </c>
      <c r="G25" s="500">
        <f t="shared" si="6"/>
        <v>0</v>
      </c>
    </row>
    <row r="26" spans="1:7" x14ac:dyDescent="0.3">
      <c r="A26" s="220" t="s">
        <v>115</v>
      </c>
      <c r="B26" s="501">
        <f t="shared" ref="B26:G26" si="7">SUM(B24:B25)</f>
        <v>5.8249999999999994E-3</v>
      </c>
      <c r="C26" s="501">
        <f t="shared" si="7"/>
        <v>1.0679166666666667E-2</v>
      </c>
      <c r="D26" s="501">
        <f t="shared" si="7"/>
        <v>0</v>
      </c>
      <c r="E26" s="501">
        <f t="shared" si="7"/>
        <v>5.1454166666666676E-2</v>
      </c>
      <c r="F26" s="501">
        <f t="shared" si="7"/>
        <v>5.1454166666666676E-2</v>
      </c>
      <c r="G26" s="501">
        <f t="shared" si="7"/>
        <v>0</v>
      </c>
    </row>
    <row r="27" spans="1:7" x14ac:dyDescent="0.3">
      <c r="A27" s="217" t="s">
        <v>126</v>
      </c>
      <c r="B27" s="499"/>
      <c r="C27" s="499"/>
      <c r="D27" s="499"/>
      <c r="E27" s="499"/>
      <c r="F27" s="499"/>
      <c r="G27" s="499"/>
    </row>
    <row r="28" spans="1:7" x14ac:dyDescent="0.3">
      <c r="A28" s="217" t="s">
        <v>127</v>
      </c>
      <c r="B28" s="499">
        <f t="shared" ref="B28:G28" si="8">+B15*B22</f>
        <v>6.6666666666666662E-3</v>
      </c>
      <c r="C28" s="499">
        <f t="shared" si="8"/>
        <v>6.6666666666666662E-3</v>
      </c>
      <c r="D28" s="499">
        <f t="shared" si="8"/>
        <v>6.6666666666666662E-3</v>
      </c>
      <c r="E28" s="500">
        <f t="shared" si="8"/>
        <v>6.6666666666666662E-3</v>
      </c>
      <c r="F28" s="500">
        <f t="shared" si="8"/>
        <v>6.6666666666666662E-3</v>
      </c>
      <c r="G28" s="500">
        <f t="shared" si="8"/>
        <v>0</v>
      </c>
    </row>
    <row r="29" spans="1:7" x14ac:dyDescent="0.3">
      <c r="A29" s="217" t="s">
        <v>128</v>
      </c>
      <c r="B29" s="499">
        <f t="shared" ref="B29:G29" si="9">+B19*B22</f>
        <v>8.8666666666666668E-3</v>
      </c>
      <c r="C29" s="499">
        <f t="shared" si="9"/>
        <v>8.8666666666666668E-3</v>
      </c>
      <c r="D29" s="499">
        <f t="shared" si="9"/>
        <v>8.8666666666666668E-3</v>
      </c>
      <c r="E29" s="500">
        <f t="shared" si="9"/>
        <v>8.8666666666666668E-3</v>
      </c>
      <c r="F29" s="500">
        <f t="shared" si="9"/>
        <v>8.8666666666666668E-3</v>
      </c>
      <c r="G29" s="500">
        <f t="shared" si="9"/>
        <v>0</v>
      </c>
    </row>
    <row r="30" spans="1:7" x14ac:dyDescent="0.3">
      <c r="A30" s="220" t="s">
        <v>115</v>
      </c>
      <c r="B30" s="501">
        <f t="shared" ref="B30:G30" si="10">SUM(B28:B29)</f>
        <v>1.5533333333333333E-2</v>
      </c>
      <c r="C30" s="501">
        <f t="shared" si="10"/>
        <v>1.5533333333333333E-2</v>
      </c>
      <c r="D30" s="501">
        <f t="shared" si="10"/>
        <v>1.5533333333333333E-2</v>
      </c>
      <c r="E30" s="501">
        <f t="shared" si="10"/>
        <v>1.5533333333333333E-2</v>
      </c>
      <c r="F30" s="501">
        <f t="shared" si="10"/>
        <v>1.5533333333333333E-2</v>
      </c>
      <c r="G30" s="501">
        <f t="shared" si="10"/>
        <v>0</v>
      </c>
    </row>
    <row r="31" spans="1:7" x14ac:dyDescent="0.3">
      <c r="A31" s="217" t="s">
        <v>129</v>
      </c>
      <c r="B31" s="499">
        <v>0</v>
      </c>
      <c r="C31" s="499">
        <v>0</v>
      </c>
      <c r="D31" s="499">
        <v>0</v>
      </c>
      <c r="E31" s="499">
        <v>0</v>
      </c>
      <c r="F31" s="499">
        <v>0</v>
      </c>
      <c r="G31" s="499">
        <v>0</v>
      </c>
    </row>
    <row r="32" spans="1:7" x14ac:dyDescent="0.3">
      <c r="A32" s="217" t="s">
        <v>130</v>
      </c>
      <c r="B32" s="499">
        <v>0</v>
      </c>
      <c r="C32" s="499">
        <v>0</v>
      </c>
      <c r="D32" s="499">
        <v>0</v>
      </c>
      <c r="E32" s="499">
        <v>0</v>
      </c>
      <c r="F32" s="499">
        <v>0</v>
      </c>
      <c r="G32" s="499">
        <v>0</v>
      </c>
    </row>
    <row r="33" spans="1:7" x14ac:dyDescent="0.3">
      <c r="A33" s="217" t="s">
        <v>131</v>
      </c>
      <c r="B33" s="499">
        <v>0</v>
      </c>
      <c r="C33" s="499">
        <v>0</v>
      </c>
      <c r="D33" s="499">
        <v>0</v>
      </c>
      <c r="E33" s="499">
        <v>0</v>
      </c>
      <c r="F33" s="499">
        <v>0</v>
      </c>
      <c r="G33" s="499">
        <v>0</v>
      </c>
    </row>
    <row r="34" spans="1:7" x14ac:dyDescent="0.3">
      <c r="A34" s="220" t="s">
        <v>38</v>
      </c>
      <c r="B34" s="501">
        <f t="shared" ref="B34:G34" si="11">+B12+B15+B19+B22+B26+B30+B31+B32+B33</f>
        <v>0.32552500000000001</v>
      </c>
      <c r="C34" s="501">
        <f t="shared" si="11"/>
        <v>0.35537916666666669</v>
      </c>
      <c r="D34" s="501">
        <f t="shared" si="11"/>
        <v>0.28970000000000001</v>
      </c>
      <c r="E34" s="501">
        <f t="shared" si="11"/>
        <v>0.60615416666666666</v>
      </c>
      <c r="F34" s="501">
        <f t="shared" si="11"/>
        <v>0.60615416666666666</v>
      </c>
      <c r="G34" s="501">
        <f t="shared" si="11"/>
        <v>0.2</v>
      </c>
    </row>
    <row r="36" spans="1:7" x14ac:dyDescent="0.3">
      <c r="A36" s="222" t="s">
        <v>132</v>
      </c>
      <c r="B36" s="222"/>
      <c r="C36" s="222"/>
      <c r="D36" s="222" t="s">
        <v>0</v>
      </c>
      <c r="E36" s="223">
        <v>3</v>
      </c>
      <c r="F36" s="224">
        <f>IF(E36=1,B34,IF(E36=2,C34,IF(E36=3,D34,IF(E36=4,E34,IF(E36=5,F34,IF(E36=6,G34))))))</f>
        <v>0.28970000000000001</v>
      </c>
      <c r="G36" s="502" t="s">
        <v>0</v>
      </c>
    </row>
    <row r="37" spans="1:7" x14ac:dyDescent="0.3">
      <c r="A37" s="61" t="s">
        <v>133</v>
      </c>
      <c r="B37" s="61"/>
      <c r="C37" s="61"/>
      <c r="D37" s="61"/>
    </row>
    <row r="38" spans="1:7" x14ac:dyDescent="0.3">
      <c r="A38" s="61" t="s">
        <v>134</v>
      </c>
      <c r="B38" s="61"/>
      <c r="C38" s="61"/>
      <c r="D38" s="61"/>
    </row>
    <row r="39" spans="1:7" x14ac:dyDescent="0.3">
      <c r="A39" s="61" t="s">
        <v>135</v>
      </c>
      <c r="B39" s="61"/>
      <c r="C39" s="61"/>
      <c r="D39" s="61"/>
    </row>
    <row r="40" spans="1:7" x14ac:dyDescent="0.3">
      <c r="A40" s="61" t="s">
        <v>136</v>
      </c>
      <c r="B40" s="61"/>
      <c r="C40" s="61"/>
      <c r="D40" s="61"/>
    </row>
    <row r="41" spans="1:7" x14ac:dyDescent="0.3">
      <c r="A41" s="61" t="s">
        <v>137</v>
      </c>
    </row>
    <row r="42" spans="1:7" x14ac:dyDescent="0.3">
      <c r="A42" s="61" t="s">
        <v>138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"/>
  <sheetViews>
    <sheetView showGridLines="0" workbookViewId="0">
      <selection activeCell="H2" sqref="H2"/>
    </sheetView>
  </sheetViews>
  <sheetFormatPr defaultRowHeight="14.4" x14ac:dyDescent="0.3"/>
  <cols>
    <col min="1" max="1" width="2.5546875" customWidth="1"/>
    <col min="2" max="2" width="38.6640625" customWidth="1"/>
    <col min="4" max="4" width="19.33203125" customWidth="1"/>
    <col min="5" max="5" width="15.5546875" customWidth="1"/>
  </cols>
  <sheetData>
    <row r="2" spans="2:5" ht="18" x14ac:dyDescent="0.35">
      <c r="B2" s="143" t="s">
        <v>139</v>
      </c>
    </row>
    <row r="3" spans="2:5" ht="31.2" x14ac:dyDescent="0.3">
      <c r="B3" s="144" t="s">
        <v>140</v>
      </c>
      <c r="C3" s="145" t="s">
        <v>106</v>
      </c>
      <c r="D3" s="145" t="s">
        <v>141</v>
      </c>
      <c r="E3" s="145" t="s">
        <v>142</v>
      </c>
    </row>
    <row r="4" spans="2:5" ht="18" x14ac:dyDescent="0.3">
      <c r="B4" s="146" t="s">
        <v>143</v>
      </c>
      <c r="C4" s="147">
        <v>81.05</v>
      </c>
      <c r="D4" s="147">
        <v>1</v>
      </c>
      <c r="E4" s="147">
        <f>+C4+D4</f>
        <v>82.05</v>
      </c>
    </row>
    <row r="5" spans="2:5" ht="18" x14ac:dyDescent="0.3">
      <c r="B5" s="146" t="s">
        <v>144</v>
      </c>
      <c r="C5" s="147">
        <v>81.05</v>
      </c>
      <c r="D5" s="147">
        <v>5</v>
      </c>
      <c r="E5" s="147">
        <f t="shared" ref="E5:E6" si="0">+C5+D5</f>
        <v>86.05</v>
      </c>
    </row>
    <row r="6" spans="2:5" ht="18" x14ac:dyDescent="0.3">
      <c r="B6" s="148" t="s">
        <v>145</v>
      </c>
      <c r="C6" s="147">
        <v>81.05</v>
      </c>
      <c r="D6" s="147">
        <v>6</v>
      </c>
      <c r="E6" s="147">
        <f t="shared" si="0"/>
        <v>87.05</v>
      </c>
    </row>
  </sheetData>
  <hyperlinks>
    <hyperlink ref="B6" r:id="rId1" display="https://www.contabeis.com.br/tributario/icms/"/>
  </hyperlinks>
  <pageMargins left="0.511811024" right="0.511811024" top="0.78740157499999996" bottom="0.78740157499999996" header="0.31496062000000002" footer="0.31496062000000002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showGridLines="0" topLeftCell="C1" zoomScale="160" zoomScaleNormal="160" workbookViewId="0">
      <selection activeCell="G2" sqref="G2"/>
    </sheetView>
  </sheetViews>
  <sheetFormatPr defaultRowHeight="14.4" x14ac:dyDescent="0.3"/>
  <cols>
    <col min="1" max="1" width="15.109375" customWidth="1"/>
    <col min="2" max="2" width="39.6640625" customWidth="1"/>
    <col min="3" max="3" width="7.6640625" bestFit="1" customWidth="1"/>
    <col min="4" max="4" width="21.109375" bestFit="1" customWidth="1"/>
    <col min="6" max="6" width="13.33203125" bestFit="1" customWidth="1"/>
    <col min="8" max="8" width="11.5546875" bestFit="1" customWidth="1"/>
    <col min="9" max="9" width="9.5546875" bestFit="1" customWidth="1"/>
    <col min="10" max="10" width="11.6640625" bestFit="1" customWidth="1"/>
  </cols>
  <sheetData>
    <row r="1" spans="1:11" x14ac:dyDescent="0.3">
      <c r="A1" s="149" t="s">
        <v>146</v>
      </c>
    </row>
    <row r="2" spans="1:11" x14ac:dyDescent="0.3">
      <c r="A2" s="149"/>
    </row>
    <row r="3" spans="1:11" x14ac:dyDescent="0.3">
      <c r="A3" s="150" t="s">
        <v>147</v>
      </c>
    </row>
    <row r="4" spans="1:11" ht="15" thickBot="1" x14ac:dyDescent="0.35"/>
    <row r="5" spans="1:11" ht="15" thickBot="1" x14ac:dyDescent="0.35">
      <c r="A5" s="576" t="s">
        <v>148</v>
      </c>
      <c r="B5" s="577"/>
      <c r="C5" s="151" t="s">
        <v>149</v>
      </c>
      <c r="D5" s="151" t="s">
        <v>150</v>
      </c>
    </row>
    <row r="6" spans="1:11" ht="16.2" thickBot="1" x14ac:dyDescent="0.35">
      <c r="A6" s="152" t="s">
        <v>151</v>
      </c>
      <c r="B6" s="153" t="s">
        <v>152</v>
      </c>
      <c r="C6" s="154">
        <v>0.04</v>
      </c>
      <c r="D6" s="155">
        <v>0</v>
      </c>
    </row>
    <row r="7" spans="1:11" ht="16.2" thickBot="1" x14ac:dyDescent="0.35">
      <c r="A7" s="450" t="s">
        <v>153</v>
      </c>
      <c r="B7" s="451" t="s">
        <v>154</v>
      </c>
      <c r="C7" s="452">
        <v>7.2999999999999995E-2</v>
      </c>
      <c r="D7" s="453">
        <v>5940</v>
      </c>
      <c r="F7" s="460" t="s">
        <v>155</v>
      </c>
      <c r="G7" s="460" t="s">
        <v>156</v>
      </c>
      <c r="H7" s="460" t="s">
        <v>157</v>
      </c>
      <c r="I7" s="461" t="s">
        <v>158</v>
      </c>
      <c r="J7" s="461" t="s">
        <v>159</v>
      </c>
      <c r="K7" s="461" t="s">
        <v>16</v>
      </c>
    </row>
    <row r="8" spans="1:11" ht="16.2" thickBot="1" x14ac:dyDescent="0.35">
      <c r="A8" s="317" t="s">
        <v>160</v>
      </c>
      <c r="B8" s="318" t="s">
        <v>161</v>
      </c>
      <c r="C8" s="319">
        <v>9.5000000000000001E-2</v>
      </c>
      <c r="D8" s="320">
        <v>13860</v>
      </c>
      <c r="F8" s="462">
        <f>'DRE  PREVISTO'!AA9</f>
        <v>595000</v>
      </c>
      <c r="G8" s="463">
        <f>+C8</f>
        <v>9.5000000000000001E-2</v>
      </c>
      <c r="H8" s="464">
        <f>F8*G8</f>
        <v>56525</v>
      </c>
      <c r="I8" s="465">
        <f>+D8</f>
        <v>13860</v>
      </c>
      <c r="J8" s="464">
        <f>H8-I8</f>
        <v>42665</v>
      </c>
      <c r="K8" s="466">
        <f>IFERROR((J8/F8),0)</f>
        <v>7.1705882352941175E-2</v>
      </c>
    </row>
    <row r="9" spans="1:11" ht="16.2" thickBot="1" x14ac:dyDescent="0.35">
      <c r="A9" s="450" t="s">
        <v>162</v>
      </c>
      <c r="B9" s="451" t="s">
        <v>163</v>
      </c>
      <c r="C9" s="452">
        <v>0.107</v>
      </c>
      <c r="D9" s="453">
        <v>22500</v>
      </c>
      <c r="J9" s="459" t="s">
        <v>0</v>
      </c>
    </row>
    <row r="10" spans="1:11" ht="16.2" thickBot="1" x14ac:dyDescent="0.35">
      <c r="A10" s="152" t="s">
        <v>164</v>
      </c>
      <c r="B10" s="153" t="s">
        <v>165</v>
      </c>
      <c r="C10" s="154">
        <v>0.14299999999999999</v>
      </c>
      <c r="D10" s="156">
        <v>87300</v>
      </c>
    </row>
    <row r="11" spans="1:11" ht="16.2" thickBot="1" x14ac:dyDescent="0.35">
      <c r="A11" s="152" t="s">
        <v>166</v>
      </c>
      <c r="B11" s="153" t="s">
        <v>167</v>
      </c>
      <c r="C11" s="154">
        <v>0.19</v>
      </c>
      <c r="D11" s="156">
        <v>378000</v>
      </c>
    </row>
    <row r="13" spans="1:11" x14ac:dyDescent="0.3">
      <c r="A13" s="150" t="s">
        <v>168</v>
      </c>
    </row>
    <row r="14" spans="1:11" ht="15" thickBot="1" x14ac:dyDescent="0.35"/>
    <row r="15" spans="1:11" ht="15" thickBot="1" x14ac:dyDescent="0.35">
      <c r="A15" s="576" t="s">
        <v>148</v>
      </c>
      <c r="B15" s="577"/>
      <c r="C15" s="151" t="s">
        <v>149</v>
      </c>
      <c r="D15" s="151" t="s">
        <v>150</v>
      </c>
    </row>
    <row r="16" spans="1:11" ht="16.2" thickBot="1" x14ac:dyDescent="0.35">
      <c r="A16" s="152" t="s">
        <v>151</v>
      </c>
      <c r="B16" s="153" t="s">
        <v>152</v>
      </c>
      <c r="C16" s="154">
        <v>4.4999999999999998E-2</v>
      </c>
      <c r="D16" s="155" t="s">
        <v>169</v>
      </c>
    </row>
    <row r="17" spans="1:4" ht="16.2" thickBot="1" x14ac:dyDescent="0.35">
      <c r="A17" s="152" t="s">
        <v>153</v>
      </c>
      <c r="B17" s="153" t="s">
        <v>154</v>
      </c>
      <c r="C17" s="154">
        <v>7.8E-2</v>
      </c>
      <c r="D17" s="156">
        <v>5940</v>
      </c>
    </row>
    <row r="18" spans="1:4" ht="16.2" thickBot="1" x14ac:dyDescent="0.35">
      <c r="A18" s="152" t="s">
        <v>160</v>
      </c>
      <c r="B18" s="153" t="s">
        <v>161</v>
      </c>
      <c r="C18" s="154">
        <v>0.1</v>
      </c>
      <c r="D18" s="156">
        <v>13860</v>
      </c>
    </row>
    <row r="19" spans="1:4" ht="16.2" thickBot="1" x14ac:dyDescent="0.35">
      <c r="A19" s="152" t="s">
        <v>162</v>
      </c>
      <c r="B19" s="153" t="s">
        <v>163</v>
      </c>
      <c r="C19" s="154">
        <v>0.112</v>
      </c>
      <c r="D19" s="156">
        <v>22500</v>
      </c>
    </row>
    <row r="20" spans="1:4" ht="16.2" thickBot="1" x14ac:dyDescent="0.35">
      <c r="A20" s="152" t="s">
        <v>164</v>
      </c>
      <c r="B20" s="153" t="s">
        <v>165</v>
      </c>
      <c r="C20" s="154">
        <v>0.14699999999999999</v>
      </c>
      <c r="D20" s="156">
        <v>85500</v>
      </c>
    </row>
    <row r="21" spans="1:4" ht="16.2" thickBot="1" x14ac:dyDescent="0.35">
      <c r="A21" s="152" t="s">
        <v>166</v>
      </c>
      <c r="B21" s="153" t="s">
        <v>167</v>
      </c>
      <c r="C21" s="154">
        <v>0.3</v>
      </c>
      <c r="D21" s="156">
        <v>720000</v>
      </c>
    </row>
    <row r="23" spans="1:4" ht="15.6" x14ac:dyDescent="0.3">
      <c r="A23" s="150" t="s">
        <v>170</v>
      </c>
    </row>
    <row r="24" spans="1:4" ht="15" thickBot="1" x14ac:dyDescent="0.35"/>
    <row r="25" spans="1:4" ht="15" thickBot="1" x14ac:dyDescent="0.35">
      <c r="A25" s="576" t="s">
        <v>148</v>
      </c>
      <c r="B25" s="577"/>
      <c r="C25" s="151" t="s">
        <v>149</v>
      </c>
      <c r="D25" s="151" t="s">
        <v>150</v>
      </c>
    </row>
    <row r="26" spans="1:4" ht="16.2" thickBot="1" x14ac:dyDescent="0.35">
      <c r="A26" s="152" t="s">
        <v>151</v>
      </c>
      <c r="B26" s="153" t="s">
        <v>152</v>
      </c>
      <c r="C26" s="154">
        <v>0.06</v>
      </c>
      <c r="D26" s="155" t="s">
        <v>171</v>
      </c>
    </row>
    <row r="27" spans="1:4" ht="16.2" thickBot="1" x14ac:dyDescent="0.35">
      <c r="A27" s="152" t="s">
        <v>153</v>
      </c>
      <c r="B27" s="153" t="s">
        <v>154</v>
      </c>
      <c r="C27" s="154">
        <v>0.112</v>
      </c>
      <c r="D27" s="156">
        <v>9360</v>
      </c>
    </row>
    <row r="28" spans="1:4" ht="16.2" thickBot="1" x14ac:dyDescent="0.35">
      <c r="A28" s="152" t="s">
        <v>160</v>
      </c>
      <c r="B28" s="153" t="s">
        <v>161</v>
      </c>
      <c r="C28" s="154">
        <v>0.13500000000000001</v>
      </c>
      <c r="D28" s="156">
        <v>17640</v>
      </c>
    </row>
    <row r="29" spans="1:4" ht="16.2" thickBot="1" x14ac:dyDescent="0.35">
      <c r="A29" s="152" t="s">
        <v>162</v>
      </c>
      <c r="B29" s="153" t="s">
        <v>163</v>
      </c>
      <c r="C29" s="154">
        <v>0.16</v>
      </c>
      <c r="D29" s="156">
        <v>35640</v>
      </c>
    </row>
    <row r="30" spans="1:4" ht="16.2" thickBot="1" x14ac:dyDescent="0.35">
      <c r="A30" s="152" t="s">
        <v>164</v>
      </c>
      <c r="B30" s="153" t="s">
        <v>165</v>
      </c>
      <c r="C30" s="154">
        <v>0.21</v>
      </c>
      <c r="D30" s="156">
        <v>125640</v>
      </c>
    </row>
    <row r="31" spans="1:4" ht="16.2" thickBot="1" x14ac:dyDescent="0.35">
      <c r="A31" s="152" t="s">
        <v>166</v>
      </c>
      <c r="B31" s="153" t="s">
        <v>167</v>
      </c>
      <c r="C31" s="154">
        <v>0.33</v>
      </c>
      <c r="D31" s="156">
        <v>648000</v>
      </c>
    </row>
    <row r="33" spans="1:4" ht="15.6" x14ac:dyDescent="0.3">
      <c r="A33" s="150" t="s">
        <v>172</v>
      </c>
    </row>
    <row r="34" spans="1:4" ht="15" thickBot="1" x14ac:dyDescent="0.35"/>
    <row r="35" spans="1:4" ht="15" thickBot="1" x14ac:dyDescent="0.35">
      <c r="A35" s="576" t="s">
        <v>148</v>
      </c>
      <c r="B35" s="577"/>
      <c r="C35" s="151" t="s">
        <v>149</v>
      </c>
      <c r="D35" s="151" t="s">
        <v>150</v>
      </c>
    </row>
    <row r="36" spans="1:4" ht="16.2" thickBot="1" x14ac:dyDescent="0.35">
      <c r="A36" s="152" t="s">
        <v>151</v>
      </c>
      <c r="B36" s="153" t="s">
        <v>152</v>
      </c>
      <c r="C36" s="154">
        <v>4.4999999999999998E-2</v>
      </c>
      <c r="D36" s="155" t="s">
        <v>169</v>
      </c>
    </row>
    <row r="37" spans="1:4" ht="16.2" thickBot="1" x14ac:dyDescent="0.35">
      <c r="A37" s="152" t="s">
        <v>153</v>
      </c>
      <c r="B37" s="153" t="s">
        <v>154</v>
      </c>
      <c r="C37" s="154">
        <v>0.09</v>
      </c>
      <c r="D37" s="156">
        <v>8100</v>
      </c>
    </row>
    <row r="38" spans="1:4" ht="16.2" thickBot="1" x14ac:dyDescent="0.35">
      <c r="A38" s="152" t="s">
        <v>160</v>
      </c>
      <c r="B38" s="153" t="s">
        <v>161</v>
      </c>
      <c r="C38" s="154">
        <v>0.10199999999999999</v>
      </c>
      <c r="D38" s="156">
        <v>12420</v>
      </c>
    </row>
    <row r="39" spans="1:4" ht="16.2" thickBot="1" x14ac:dyDescent="0.35">
      <c r="A39" s="152" t="s">
        <v>162</v>
      </c>
      <c r="B39" s="153" t="s">
        <v>163</v>
      </c>
      <c r="C39" s="154">
        <v>0.14000000000000001</v>
      </c>
      <c r="D39" s="156">
        <v>39780</v>
      </c>
    </row>
    <row r="40" spans="1:4" ht="16.2" thickBot="1" x14ac:dyDescent="0.35">
      <c r="A40" s="152" t="s">
        <v>164</v>
      </c>
      <c r="B40" s="153" t="s">
        <v>165</v>
      </c>
      <c r="C40" s="154">
        <v>0.22</v>
      </c>
      <c r="D40" s="156">
        <v>183780</v>
      </c>
    </row>
    <row r="41" spans="1:4" ht="16.2" thickBot="1" x14ac:dyDescent="0.35">
      <c r="A41" s="152" t="s">
        <v>166</v>
      </c>
      <c r="B41" s="153" t="s">
        <v>167</v>
      </c>
      <c r="C41" s="154">
        <v>0.33</v>
      </c>
      <c r="D41" s="156">
        <v>828000</v>
      </c>
    </row>
    <row r="43" spans="1:4" ht="15.6" x14ac:dyDescent="0.3">
      <c r="A43" s="150" t="s">
        <v>173</v>
      </c>
    </row>
    <row r="44" spans="1:4" ht="15" thickBot="1" x14ac:dyDescent="0.35"/>
    <row r="45" spans="1:4" ht="15" thickBot="1" x14ac:dyDescent="0.35">
      <c r="A45" s="576" t="s">
        <v>148</v>
      </c>
      <c r="B45" s="577"/>
      <c r="C45" s="151" t="s">
        <v>149</v>
      </c>
      <c r="D45" s="151" t="s">
        <v>150</v>
      </c>
    </row>
    <row r="46" spans="1:4" ht="16.2" thickBot="1" x14ac:dyDescent="0.35">
      <c r="A46" s="152" t="s">
        <v>151</v>
      </c>
      <c r="B46" s="153" t="s">
        <v>152</v>
      </c>
      <c r="C46" s="154">
        <v>0.155</v>
      </c>
      <c r="D46" s="155" t="s">
        <v>169</v>
      </c>
    </row>
    <row r="47" spans="1:4" ht="16.2" thickBot="1" x14ac:dyDescent="0.35">
      <c r="A47" s="152" t="s">
        <v>153</v>
      </c>
      <c r="B47" s="153" t="s">
        <v>154</v>
      </c>
      <c r="C47" s="154">
        <v>0.18</v>
      </c>
      <c r="D47" s="156">
        <v>4500</v>
      </c>
    </row>
    <row r="48" spans="1:4" ht="16.2" thickBot="1" x14ac:dyDescent="0.35">
      <c r="A48" s="152" t="s">
        <v>160</v>
      </c>
      <c r="B48" s="153" t="s">
        <v>161</v>
      </c>
      <c r="C48" s="154">
        <v>0.19500000000000001</v>
      </c>
      <c r="D48" s="156">
        <v>9900</v>
      </c>
    </row>
    <row r="49" spans="1:4" ht="16.2" thickBot="1" x14ac:dyDescent="0.35">
      <c r="A49" s="152" t="s">
        <v>162</v>
      </c>
      <c r="B49" s="153" t="s">
        <v>163</v>
      </c>
      <c r="C49" s="154">
        <v>0.20499999999999999</v>
      </c>
      <c r="D49" s="156">
        <v>17100</v>
      </c>
    </row>
    <row r="50" spans="1:4" ht="16.2" thickBot="1" x14ac:dyDescent="0.35">
      <c r="A50" s="152" t="s">
        <v>164</v>
      </c>
      <c r="B50" s="153" t="s">
        <v>165</v>
      </c>
      <c r="C50" s="154">
        <v>0.23</v>
      </c>
      <c r="D50" s="156">
        <v>62100</v>
      </c>
    </row>
    <row r="51" spans="1:4" ht="16.2" thickBot="1" x14ac:dyDescent="0.35">
      <c r="A51" s="152" t="s">
        <v>166</v>
      </c>
      <c r="B51" s="153" t="s">
        <v>167</v>
      </c>
      <c r="C51" s="154">
        <v>0.30499999999999999</v>
      </c>
      <c r="D51" s="156">
        <v>540000</v>
      </c>
    </row>
  </sheetData>
  <mergeCells count="5">
    <mergeCell ref="A5:B5"/>
    <mergeCell ref="A15:B15"/>
    <mergeCell ref="A25:B25"/>
    <mergeCell ref="A35:B35"/>
    <mergeCell ref="A45:B45"/>
  </mergeCells>
  <hyperlinks>
    <hyperlink ref="A1" location="'Capital de Giro'!A1" display="LEI COMPLEMENTAR Nº 155, DE 27 DE OUTUBRO DE 2016"/>
  </hyperlink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showGridLines="0" zoomScaleNormal="100" workbookViewId="0">
      <selection activeCell="L31" sqref="L31"/>
    </sheetView>
  </sheetViews>
  <sheetFormatPr defaultRowHeight="14.4" x14ac:dyDescent="0.3"/>
  <cols>
    <col min="2" max="2" width="10.33203125" bestFit="1" customWidth="1"/>
    <col min="17" max="17" width="10" bestFit="1" customWidth="1"/>
  </cols>
  <sheetData>
    <row r="1" spans="1:17" x14ac:dyDescent="0.3">
      <c r="A1" s="578" t="s">
        <v>174</v>
      </c>
      <c r="B1" s="579"/>
      <c r="C1" s="579"/>
      <c r="D1" s="580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5"/>
    </row>
    <row r="2" spans="1:17" ht="21.6" x14ac:dyDescent="0.3">
      <c r="A2" s="86" t="s">
        <v>175</v>
      </c>
      <c r="B2" s="87" t="s">
        <v>54</v>
      </c>
      <c r="C2" s="87" t="s">
        <v>16</v>
      </c>
      <c r="D2" s="86" t="s">
        <v>176</v>
      </c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5"/>
    </row>
    <row r="3" spans="1:17" x14ac:dyDescent="0.3">
      <c r="A3" s="88" t="s">
        <v>177</v>
      </c>
      <c r="B3" s="88">
        <v>0</v>
      </c>
      <c r="C3" s="89">
        <v>0.3</v>
      </c>
      <c r="D3" s="90">
        <f t="shared" ref="D3:D9" si="0">+B3*C3</f>
        <v>0</v>
      </c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5"/>
    </row>
    <row r="4" spans="1:17" x14ac:dyDescent="0.3">
      <c r="A4" s="91" t="s">
        <v>178</v>
      </c>
      <c r="B4" s="91">
        <v>30</v>
      </c>
      <c r="C4" s="92">
        <v>0.4</v>
      </c>
      <c r="D4" s="90">
        <f t="shared" si="0"/>
        <v>12</v>
      </c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5"/>
    </row>
    <row r="5" spans="1:17" x14ac:dyDescent="0.3">
      <c r="A5" s="91" t="s">
        <v>179</v>
      </c>
      <c r="B5" s="91">
        <v>60</v>
      </c>
      <c r="C5" s="92">
        <v>0.3</v>
      </c>
      <c r="D5" s="90">
        <f t="shared" si="0"/>
        <v>18</v>
      </c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5"/>
    </row>
    <row r="6" spans="1:17" x14ac:dyDescent="0.3">
      <c r="A6" s="91" t="s">
        <v>180</v>
      </c>
      <c r="B6" s="91">
        <v>90</v>
      </c>
      <c r="C6" s="92">
        <v>0</v>
      </c>
      <c r="D6" s="90">
        <f t="shared" si="0"/>
        <v>0</v>
      </c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5"/>
    </row>
    <row r="7" spans="1:17" x14ac:dyDescent="0.3">
      <c r="A7" s="91" t="s">
        <v>181</v>
      </c>
      <c r="B7" s="91">
        <v>120</v>
      </c>
      <c r="C7" s="92">
        <v>0</v>
      </c>
      <c r="D7" s="90">
        <f t="shared" si="0"/>
        <v>0</v>
      </c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5"/>
    </row>
    <row r="8" spans="1:17" x14ac:dyDescent="0.3">
      <c r="A8" s="91" t="s">
        <v>182</v>
      </c>
      <c r="B8" s="91">
        <v>150</v>
      </c>
      <c r="C8" s="92">
        <v>0</v>
      </c>
      <c r="D8" s="90">
        <f t="shared" si="0"/>
        <v>0</v>
      </c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5"/>
    </row>
    <row r="9" spans="1:17" x14ac:dyDescent="0.3">
      <c r="A9" s="93" t="s">
        <v>183</v>
      </c>
      <c r="B9" s="93">
        <v>180</v>
      </c>
      <c r="C9" s="94">
        <v>0</v>
      </c>
      <c r="D9" s="95">
        <f t="shared" si="0"/>
        <v>0</v>
      </c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5"/>
    </row>
    <row r="10" spans="1:17" x14ac:dyDescent="0.3">
      <c r="A10" s="96" t="s">
        <v>184</v>
      </c>
      <c r="B10" s="97"/>
      <c r="C10" s="98">
        <f>SUM(C3:C9)</f>
        <v>1</v>
      </c>
      <c r="D10" s="182">
        <f>SUM(D3:D9)</f>
        <v>30</v>
      </c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99"/>
    </row>
    <row r="11" spans="1:17" ht="17.399999999999999" x14ac:dyDescent="0.3">
      <c r="A11" s="581" t="s">
        <v>185</v>
      </c>
      <c r="B11" s="582"/>
      <c r="C11" s="582"/>
      <c r="D11" s="582"/>
      <c r="E11" s="582"/>
      <c r="F11" s="582"/>
      <c r="G11" s="582"/>
      <c r="H11" s="582"/>
      <c r="I11" s="582"/>
      <c r="J11" s="582"/>
      <c r="K11" s="582"/>
      <c r="L11" s="582"/>
      <c r="M11" s="582"/>
      <c r="N11" s="582"/>
      <c r="O11" s="582"/>
      <c r="P11" s="582"/>
      <c r="Q11" s="100"/>
    </row>
    <row r="12" spans="1:17" x14ac:dyDescent="0.3">
      <c r="A12" s="101"/>
      <c r="B12" s="102" t="s">
        <v>186</v>
      </c>
      <c r="C12" s="102" t="s">
        <v>187</v>
      </c>
      <c r="D12" s="102" t="s">
        <v>188</v>
      </c>
      <c r="E12" s="103">
        <f>$A$18</f>
        <v>46023</v>
      </c>
      <c r="F12" s="104">
        <f>$A$19</f>
        <v>46054</v>
      </c>
      <c r="G12" s="104">
        <f>$A$20</f>
        <v>46082</v>
      </c>
      <c r="H12" s="104">
        <f>$A$21</f>
        <v>46113</v>
      </c>
      <c r="I12" s="104">
        <f>$A$22</f>
        <v>46143</v>
      </c>
      <c r="J12" s="104">
        <f>$A$23</f>
        <v>46174</v>
      </c>
      <c r="K12" s="104">
        <f>$A$24</f>
        <v>46204</v>
      </c>
      <c r="L12" s="104">
        <f>$A$25</f>
        <v>46235</v>
      </c>
      <c r="M12" s="104">
        <f>$A$26</f>
        <v>46266</v>
      </c>
      <c r="N12" s="104">
        <f>$A$27</f>
        <v>46296</v>
      </c>
      <c r="O12" s="104">
        <f>$A$28</f>
        <v>46327</v>
      </c>
      <c r="P12" s="105">
        <f>$A$29</f>
        <v>46357</v>
      </c>
      <c r="Q12" s="106" t="s">
        <v>38</v>
      </c>
    </row>
    <row r="13" spans="1:17" x14ac:dyDescent="0.3">
      <c r="A13" s="112">
        <f>A14-30</f>
        <v>45873</v>
      </c>
      <c r="B13" s="178">
        <v>50000</v>
      </c>
      <c r="C13" s="107">
        <v>0</v>
      </c>
      <c r="D13" s="108">
        <f t="shared" ref="D13:D29" si="1">+B13+C13</f>
        <v>50000</v>
      </c>
      <c r="E13" s="109">
        <f>$D13*$C$8</f>
        <v>0</v>
      </c>
      <c r="F13" s="109">
        <f>$D13*$C$9</f>
        <v>0</v>
      </c>
      <c r="G13" s="109" t="s">
        <v>0</v>
      </c>
      <c r="H13" s="109"/>
      <c r="I13" s="109"/>
      <c r="J13" s="109"/>
      <c r="K13" s="109"/>
      <c r="L13" s="109" t="s">
        <v>0</v>
      </c>
      <c r="M13" s="109"/>
      <c r="N13" s="109"/>
      <c r="O13" s="109"/>
      <c r="P13" s="110"/>
      <c r="Q13" s="111">
        <f>SUM(E13:P13)</f>
        <v>0</v>
      </c>
    </row>
    <row r="14" spans="1:17" x14ac:dyDescent="0.3">
      <c r="A14" s="112">
        <f>A15-30</f>
        <v>45903</v>
      </c>
      <c r="B14" s="178">
        <v>50000</v>
      </c>
      <c r="C14" s="113">
        <v>0</v>
      </c>
      <c r="D14" s="114">
        <f t="shared" si="1"/>
        <v>50000</v>
      </c>
      <c r="E14" s="115">
        <f>$D14*$C$7</f>
        <v>0</v>
      </c>
      <c r="F14" s="115">
        <f>$D14*$C$8</f>
        <v>0</v>
      </c>
      <c r="G14" s="115">
        <f>$D14*$C$9</f>
        <v>0</v>
      </c>
      <c r="H14" s="115"/>
      <c r="I14" s="115"/>
      <c r="J14" s="115"/>
      <c r="K14" s="115"/>
      <c r="L14" s="115" t="s">
        <v>0</v>
      </c>
      <c r="M14" s="115"/>
      <c r="N14" s="115"/>
      <c r="O14" s="115"/>
      <c r="P14" s="116"/>
      <c r="Q14" s="117">
        <f>SUM(E14:P14)</f>
        <v>0</v>
      </c>
    </row>
    <row r="15" spans="1:17" x14ac:dyDescent="0.3">
      <c r="A15" s="112">
        <f>A16-30</f>
        <v>45933</v>
      </c>
      <c r="B15" s="178">
        <v>50000</v>
      </c>
      <c r="C15" s="113">
        <v>0</v>
      </c>
      <c r="D15" s="114">
        <f t="shared" si="1"/>
        <v>50000</v>
      </c>
      <c r="E15" s="115">
        <f>$D15*$C$6</f>
        <v>0</v>
      </c>
      <c r="F15" s="115">
        <f>$D15*$C$7</f>
        <v>0</v>
      </c>
      <c r="G15" s="115">
        <f>$D15*$C$8</f>
        <v>0</v>
      </c>
      <c r="H15" s="115">
        <f>$D15*$C$9</f>
        <v>0</v>
      </c>
      <c r="I15" s="115"/>
      <c r="J15" s="115"/>
      <c r="K15" s="115"/>
      <c r="L15" s="115" t="s">
        <v>0</v>
      </c>
      <c r="M15" s="115"/>
      <c r="N15" s="115"/>
      <c r="O15" s="115"/>
      <c r="P15" s="116"/>
      <c r="Q15" s="117">
        <f>SUM(E15:P15)</f>
        <v>0</v>
      </c>
    </row>
    <row r="16" spans="1:17" x14ac:dyDescent="0.3">
      <c r="A16" s="112">
        <f>A17-30</f>
        <v>45963</v>
      </c>
      <c r="B16" s="178">
        <v>50000</v>
      </c>
      <c r="C16" s="113">
        <v>0</v>
      </c>
      <c r="D16" s="114">
        <f t="shared" si="1"/>
        <v>50000</v>
      </c>
      <c r="E16" s="115">
        <f>$D16*$C$5</f>
        <v>15000</v>
      </c>
      <c r="F16" s="115">
        <f>$D16*$C$6</f>
        <v>0</v>
      </c>
      <c r="G16" s="115">
        <f>$D16*$C$7</f>
        <v>0</v>
      </c>
      <c r="H16" s="115">
        <f>$D16*$C$8</f>
        <v>0</v>
      </c>
      <c r="I16" s="115">
        <f>$D16*$C$9</f>
        <v>0</v>
      </c>
      <c r="J16" s="115"/>
      <c r="K16" s="115"/>
      <c r="L16" s="115" t="s">
        <v>0</v>
      </c>
      <c r="M16" s="115"/>
      <c r="N16" s="115"/>
      <c r="O16" s="115"/>
      <c r="P16" s="116"/>
      <c r="Q16" s="117">
        <f>SUM(E16:P16)</f>
        <v>15000</v>
      </c>
    </row>
    <row r="17" spans="1:17" x14ac:dyDescent="0.3">
      <c r="A17" s="112">
        <f>A18-30</f>
        <v>45993</v>
      </c>
      <c r="B17" s="178">
        <v>50000</v>
      </c>
      <c r="C17" s="113">
        <v>0</v>
      </c>
      <c r="D17" s="114">
        <f t="shared" si="1"/>
        <v>50000</v>
      </c>
      <c r="E17" s="115">
        <f>$D17*$C$4</f>
        <v>20000</v>
      </c>
      <c r="F17" s="115">
        <f>$D17*$C$5</f>
        <v>15000</v>
      </c>
      <c r="G17" s="115">
        <f>$D17*$C$6</f>
        <v>0</v>
      </c>
      <c r="H17" s="115">
        <f>$D17*$C$7</f>
        <v>0</v>
      </c>
      <c r="I17" s="115">
        <f>$D17*$C$8</f>
        <v>0</v>
      </c>
      <c r="J17" s="115">
        <f>$D17*$C$9</f>
        <v>0</v>
      </c>
      <c r="K17" s="115"/>
      <c r="L17" s="115" t="s">
        <v>0</v>
      </c>
      <c r="M17" s="115"/>
      <c r="N17" s="115"/>
      <c r="O17" s="115"/>
      <c r="P17" s="116"/>
      <c r="Q17" s="117">
        <f>SUM(E17:P17)</f>
        <v>35000</v>
      </c>
    </row>
    <row r="18" spans="1:17" x14ac:dyDescent="0.3">
      <c r="A18" s="118">
        <f>Parametrização!F3</f>
        <v>46023</v>
      </c>
      <c r="B18" s="120">
        <f>'DRE  PREVISTO'!$C$9</f>
        <v>40000</v>
      </c>
      <c r="C18" s="119">
        <v>0</v>
      </c>
      <c r="D18" s="120">
        <f t="shared" si="1"/>
        <v>40000</v>
      </c>
      <c r="E18" s="115">
        <f>$D18*$C$3</f>
        <v>12000</v>
      </c>
      <c r="F18" s="115">
        <f>$D18*$C$4</f>
        <v>16000</v>
      </c>
      <c r="G18" s="115">
        <f>$D18*$C$5</f>
        <v>12000</v>
      </c>
      <c r="H18" s="115">
        <f>$D18*$C$6</f>
        <v>0</v>
      </c>
      <c r="I18" s="115">
        <f>$D18*$C$7</f>
        <v>0</v>
      </c>
      <c r="J18" s="115">
        <f>$D18*$C$8</f>
        <v>0</v>
      </c>
      <c r="K18" s="115">
        <f>$D18*$C$9</f>
        <v>0</v>
      </c>
      <c r="L18" s="115" t="s">
        <v>0</v>
      </c>
      <c r="M18" s="115"/>
      <c r="N18" s="115"/>
      <c r="O18" s="115"/>
      <c r="P18" s="116"/>
      <c r="Q18" s="117">
        <f t="shared" ref="Q18:Q29" si="2">SUM(E18:P18)</f>
        <v>40000</v>
      </c>
    </row>
    <row r="19" spans="1:17" x14ac:dyDescent="0.3">
      <c r="A19" s="118">
        <f>Parametrização!F4</f>
        <v>46054</v>
      </c>
      <c r="B19" s="120">
        <f>'DRE  PREVISTO'!$E$9</f>
        <v>45000</v>
      </c>
      <c r="C19" s="119">
        <v>0</v>
      </c>
      <c r="D19" s="120">
        <f t="shared" si="1"/>
        <v>45000</v>
      </c>
      <c r="E19" s="115"/>
      <c r="F19" s="115">
        <f>$D19*$C$3</f>
        <v>13500</v>
      </c>
      <c r="G19" s="115">
        <f>$D19*$C$4</f>
        <v>18000</v>
      </c>
      <c r="H19" s="115">
        <f>$D19*$C$5</f>
        <v>13500</v>
      </c>
      <c r="I19" s="115">
        <f>$D19*$C$6</f>
        <v>0</v>
      </c>
      <c r="J19" s="115">
        <f>$D19*$C$7</f>
        <v>0</v>
      </c>
      <c r="K19" s="115">
        <f>$D19*$C$8</f>
        <v>0</v>
      </c>
      <c r="L19" s="115">
        <f>$D19*$C$9</f>
        <v>0</v>
      </c>
      <c r="M19" s="115"/>
      <c r="N19" s="115"/>
      <c r="O19" s="115"/>
      <c r="P19" s="116"/>
      <c r="Q19" s="117">
        <f t="shared" si="2"/>
        <v>45000</v>
      </c>
    </row>
    <row r="20" spans="1:17" x14ac:dyDescent="0.3">
      <c r="A20" s="118">
        <f>Parametrização!F5</f>
        <v>46082</v>
      </c>
      <c r="B20" s="120">
        <f>'DRE  PREVISTO'!$G$9</f>
        <v>50000</v>
      </c>
      <c r="C20" s="119">
        <v>0</v>
      </c>
      <c r="D20" s="120">
        <f t="shared" si="1"/>
        <v>50000</v>
      </c>
      <c r="E20" s="115"/>
      <c r="F20" s="115"/>
      <c r="G20" s="115">
        <f>$D20*$C$3</f>
        <v>15000</v>
      </c>
      <c r="H20" s="115">
        <f>$D20*$C$4</f>
        <v>20000</v>
      </c>
      <c r="I20" s="115">
        <f>$D20*$C$5</f>
        <v>15000</v>
      </c>
      <c r="J20" s="115">
        <f>$D20*$C$6</f>
        <v>0</v>
      </c>
      <c r="K20" s="115">
        <f>$D20*$C$7</f>
        <v>0</v>
      </c>
      <c r="L20" s="115">
        <f>$D20*$C$8</f>
        <v>0</v>
      </c>
      <c r="M20" s="115">
        <f>$D20*$C$9</f>
        <v>0</v>
      </c>
      <c r="N20" s="115"/>
      <c r="O20" s="115"/>
      <c r="P20" s="116"/>
      <c r="Q20" s="117">
        <f t="shared" si="2"/>
        <v>50000</v>
      </c>
    </row>
    <row r="21" spans="1:17" x14ac:dyDescent="0.3">
      <c r="A21" s="118">
        <f>Parametrização!F6</f>
        <v>46113</v>
      </c>
      <c r="B21" s="120">
        <f>'DRE  PREVISTO'!$I$9</f>
        <v>50000</v>
      </c>
      <c r="C21" s="119">
        <v>0</v>
      </c>
      <c r="D21" s="120">
        <f t="shared" si="1"/>
        <v>50000</v>
      </c>
      <c r="E21" s="115"/>
      <c r="F21" s="115"/>
      <c r="G21" s="115"/>
      <c r="H21" s="115">
        <f>$D21*$C$3</f>
        <v>15000</v>
      </c>
      <c r="I21" s="115">
        <f>$D21*$C$4</f>
        <v>20000</v>
      </c>
      <c r="J21" s="115">
        <f>$D21*$C$5</f>
        <v>15000</v>
      </c>
      <c r="K21" s="115">
        <f>$D21*$C$6</f>
        <v>0</v>
      </c>
      <c r="L21" s="115">
        <f>$D21*$C$7</f>
        <v>0</v>
      </c>
      <c r="M21" s="115">
        <f>$D21*$C$8</f>
        <v>0</v>
      </c>
      <c r="N21" s="115">
        <f>$D21*$C$9</f>
        <v>0</v>
      </c>
      <c r="O21" s="115"/>
      <c r="P21" s="116"/>
      <c r="Q21" s="117">
        <f t="shared" si="2"/>
        <v>50000</v>
      </c>
    </row>
    <row r="22" spans="1:17" x14ac:dyDescent="0.3">
      <c r="A22" s="118">
        <f>Parametrização!F7</f>
        <v>46143</v>
      </c>
      <c r="B22" s="120">
        <f>'DRE  PREVISTO'!$K$9</f>
        <v>50000</v>
      </c>
      <c r="C22" s="119">
        <v>0</v>
      </c>
      <c r="D22" s="120">
        <f t="shared" si="1"/>
        <v>50000</v>
      </c>
      <c r="E22" s="115"/>
      <c r="F22" s="115"/>
      <c r="G22" s="115"/>
      <c r="H22" s="115"/>
      <c r="I22" s="115">
        <f>$D22*$C$3</f>
        <v>15000</v>
      </c>
      <c r="J22" s="115">
        <f>$D22*$C$4</f>
        <v>20000</v>
      </c>
      <c r="K22" s="115">
        <f>$D22*$C$5</f>
        <v>15000</v>
      </c>
      <c r="L22" s="115">
        <f>$D22*$C$6</f>
        <v>0</v>
      </c>
      <c r="M22" s="115">
        <f>$D22*$C$7</f>
        <v>0</v>
      </c>
      <c r="N22" s="115">
        <f>$D22*$C$8</f>
        <v>0</v>
      </c>
      <c r="O22" s="115">
        <f>$D22*$C$9</f>
        <v>0</v>
      </c>
      <c r="P22" s="116"/>
      <c r="Q22" s="117">
        <f t="shared" si="2"/>
        <v>50000</v>
      </c>
    </row>
    <row r="23" spans="1:17" x14ac:dyDescent="0.3">
      <c r="A23" s="118">
        <f>Parametrização!F8</f>
        <v>46174</v>
      </c>
      <c r="B23" s="120">
        <f>'DRE  PREVISTO'!$M$9</f>
        <v>40000</v>
      </c>
      <c r="C23" s="119">
        <v>0</v>
      </c>
      <c r="D23" s="120">
        <f t="shared" si="1"/>
        <v>40000</v>
      </c>
      <c r="E23" s="115"/>
      <c r="F23" s="115"/>
      <c r="G23" s="115"/>
      <c r="H23" s="115"/>
      <c r="I23" s="115"/>
      <c r="J23" s="115">
        <f>$D23*$C$3</f>
        <v>12000</v>
      </c>
      <c r="K23" s="115">
        <f>$D23*$C$4</f>
        <v>16000</v>
      </c>
      <c r="L23" s="115">
        <f>$D23*$C$5</f>
        <v>12000</v>
      </c>
      <c r="M23" s="115">
        <f>$D23*$C$6</f>
        <v>0</v>
      </c>
      <c r="N23" s="115">
        <f>$D23*$C$7</f>
        <v>0</v>
      </c>
      <c r="O23" s="115">
        <f>$D23*$C$8</f>
        <v>0</v>
      </c>
      <c r="P23" s="116">
        <f>$D23*$C$9</f>
        <v>0</v>
      </c>
      <c r="Q23" s="117">
        <f t="shared" si="2"/>
        <v>40000</v>
      </c>
    </row>
    <row r="24" spans="1:17" x14ac:dyDescent="0.3">
      <c r="A24" s="118">
        <f>Parametrização!F9</f>
        <v>46204</v>
      </c>
      <c r="B24" s="120">
        <f>'DRE  PREVISTO'!$O$9</f>
        <v>40000</v>
      </c>
      <c r="C24" s="119">
        <v>0</v>
      </c>
      <c r="D24" s="120">
        <f t="shared" si="1"/>
        <v>40000</v>
      </c>
      <c r="E24" s="115"/>
      <c r="F24" s="115"/>
      <c r="G24" s="115"/>
      <c r="H24" s="115"/>
      <c r="I24" s="115"/>
      <c r="J24" s="115"/>
      <c r="K24" s="115">
        <f>$D24*$C$3</f>
        <v>12000</v>
      </c>
      <c r="L24" s="115">
        <f>$D24*$C$4</f>
        <v>16000</v>
      </c>
      <c r="M24" s="115">
        <f>$D24*$C$5</f>
        <v>12000</v>
      </c>
      <c r="N24" s="115">
        <f>$D24*$C$6</f>
        <v>0</v>
      </c>
      <c r="O24" s="115">
        <f>$D24*$C$7</f>
        <v>0</v>
      </c>
      <c r="P24" s="116">
        <f>$D24*$C$8</f>
        <v>0</v>
      </c>
      <c r="Q24" s="117">
        <f t="shared" si="2"/>
        <v>40000</v>
      </c>
    </row>
    <row r="25" spans="1:17" x14ac:dyDescent="0.3">
      <c r="A25" s="118">
        <f>Parametrização!F10</f>
        <v>46235</v>
      </c>
      <c r="B25" s="120">
        <f>'DRE  PREVISTO'!$Q$9</f>
        <v>50000</v>
      </c>
      <c r="C25" s="119">
        <v>0</v>
      </c>
      <c r="D25" s="120">
        <f t="shared" si="1"/>
        <v>50000</v>
      </c>
      <c r="E25" s="115"/>
      <c r="F25" s="115"/>
      <c r="G25" s="115"/>
      <c r="H25" s="115"/>
      <c r="I25" s="115"/>
      <c r="J25" s="115"/>
      <c r="K25" s="115"/>
      <c r="L25" s="115">
        <f>$D25*$C$3</f>
        <v>15000</v>
      </c>
      <c r="M25" s="115">
        <f>$D25*$C$4</f>
        <v>20000</v>
      </c>
      <c r="N25" s="115">
        <f>$D25*$C$5</f>
        <v>15000</v>
      </c>
      <c r="O25" s="115">
        <f>$D25*$C$6</f>
        <v>0</v>
      </c>
      <c r="P25" s="116">
        <f>$D25*$C$7</f>
        <v>0</v>
      </c>
      <c r="Q25" s="117">
        <f t="shared" si="2"/>
        <v>50000</v>
      </c>
    </row>
    <row r="26" spans="1:17" x14ac:dyDescent="0.3">
      <c r="A26" s="118">
        <f>Parametrização!F11</f>
        <v>46266</v>
      </c>
      <c r="B26" s="120">
        <f>'DRE  PREVISTO'!$S$9</f>
        <v>50000</v>
      </c>
      <c r="C26" s="119">
        <v>0</v>
      </c>
      <c r="D26" s="120">
        <f t="shared" si="1"/>
        <v>50000</v>
      </c>
      <c r="E26" s="115"/>
      <c r="F26" s="115"/>
      <c r="G26" s="115"/>
      <c r="H26" s="115"/>
      <c r="I26" s="115"/>
      <c r="J26" s="115"/>
      <c r="K26" s="115"/>
      <c r="L26" s="115"/>
      <c r="M26" s="115">
        <f>$D26*$C$3</f>
        <v>15000</v>
      </c>
      <c r="N26" s="115">
        <f>$D26*$C$4</f>
        <v>20000</v>
      </c>
      <c r="O26" s="115">
        <f>$D26*$C$5</f>
        <v>15000</v>
      </c>
      <c r="P26" s="116">
        <f>$D26*$C$6</f>
        <v>0</v>
      </c>
      <c r="Q26" s="117">
        <f t="shared" si="2"/>
        <v>50000</v>
      </c>
    </row>
    <row r="27" spans="1:17" x14ac:dyDescent="0.3">
      <c r="A27" s="118">
        <f>Parametrização!F12</f>
        <v>46296</v>
      </c>
      <c r="B27" s="120">
        <f>'DRE  PREVISTO'!$U$9</f>
        <v>50000</v>
      </c>
      <c r="C27" s="119">
        <v>0</v>
      </c>
      <c r="D27" s="120">
        <f>+B27+C27</f>
        <v>50000</v>
      </c>
      <c r="E27" s="115"/>
      <c r="F27" s="115"/>
      <c r="G27" s="115"/>
      <c r="H27" s="115"/>
      <c r="I27" s="115"/>
      <c r="J27" s="115"/>
      <c r="K27" s="115"/>
      <c r="L27" s="115"/>
      <c r="M27" s="115"/>
      <c r="N27" s="115">
        <f>$D27*$C$3</f>
        <v>15000</v>
      </c>
      <c r="O27" s="115">
        <f>$D27*$C$4</f>
        <v>20000</v>
      </c>
      <c r="P27" s="116">
        <f>$D27*$C$5</f>
        <v>15000</v>
      </c>
      <c r="Q27" s="117">
        <f t="shared" si="2"/>
        <v>50000</v>
      </c>
    </row>
    <row r="28" spans="1:17" x14ac:dyDescent="0.3">
      <c r="A28" s="118">
        <f>Parametrização!F13</f>
        <v>46327</v>
      </c>
      <c r="B28" s="120">
        <f>'DRE  PREVISTO'!$W$9</f>
        <v>50000</v>
      </c>
      <c r="C28" s="119">
        <v>0</v>
      </c>
      <c r="D28" s="120">
        <f>+B28+C28</f>
        <v>50000</v>
      </c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>
        <f>$D28*$C$3</f>
        <v>15000</v>
      </c>
      <c r="P28" s="116">
        <f>$D28*$C$4</f>
        <v>20000</v>
      </c>
      <c r="Q28" s="117">
        <f t="shared" si="2"/>
        <v>35000</v>
      </c>
    </row>
    <row r="29" spans="1:17" x14ac:dyDescent="0.3">
      <c r="A29" s="118">
        <f>Parametrização!F14</f>
        <v>46357</v>
      </c>
      <c r="B29" s="120">
        <f>'DRE  PREVISTO'!$Y$9</f>
        <v>80000</v>
      </c>
      <c r="C29" s="121">
        <v>0</v>
      </c>
      <c r="D29" s="122">
        <f t="shared" si="1"/>
        <v>80000</v>
      </c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4">
        <f>$D29*$C$3</f>
        <v>24000</v>
      </c>
      <c r="Q29" s="125">
        <f t="shared" si="2"/>
        <v>24000</v>
      </c>
    </row>
    <row r="30" spans="1:17" x14ac:dyDescent="0.3">
      <c r="A30" s="126" t="s">
        <v>0</v>
      </c>
      <c r="B30" s="127">
        <f>SUM(B18:B29)</f>
        <v>595000</v>
      </c>
      <c r="C30" s="128"/>
      <c r="D30" s="128"/>
      <c r="E30" s="179">
        <f>SUM(E13:E29)</f>
        <v>47000</v>
      </c>
      <c r="F30" s="180">
        <f t="shared" ref="F30:Q30" si="3">SUM(F13:F29)</f>
        <v>44500</v>
      </c>
      <c r="G30" s="180">
        <f t="shared" si="3"/>
        <v>45000</v>
      </c>
      <c r="H30" s="180">
        <f t="shared" si="3"/>
        <v>48500</v>
      </c>
      <c r="I30" s="180">
        <f t="shared" si="3"/>
        <v>50000</v>
      </c>
      <c r="J30" s="180">
        <f t="shared" si="3"/>
        <v>47000</v>
      </c>
      <c r="K30" s="180">
        <f t="shared" si="3"/>
        <v>43000</v>
      </c>
      <c r="L30" s="180">
        <f t="shared" si="3"/>
        <v>43000</v>
      </c>
      <c r="M30" s="180">
        <f t="shared" si="3"/>
        <v>47000</v>
      </c>
      <c r="N30" s="180">
        <f t="shared" si="3"/>
        <v>50000</v>
      </c>
      <c r="O30" s="180">
        <f t="shared" si="3"/>
        <v>50000</v>
      </c>
      <c r="P30" s="180">
        <f t="shared" si="3"/>
        <v>59000</v>
      </c>
      <c r="Q30" s="181">
        <f t="shared" si="3"/>
        <v>574000</v>
      </c>
    </row>
  </sheetData>
  <mergeCells count="2">
    <mergeCell ref="A1:D1"/>
    <mergeCell ref="A11:P11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showGridLines="0" zoomScaleNormal="100" workbookViewId="0">
      <selection sqref="A1:R1"/>
    </sheetView>
  </sheetViews>
  <sheetFormatPr defaultRowHeight="14.4" x14ac:dyDescent="0.3"/>
  <cols>
    <col min="2" max="2" width="24.88671875" customWidth="1"/>
    <col min="3" max="3" width="5.109375" customWidth="1"/>
    <col min="4" max="4" width="23" customWidth="1"/>
    <col min="19" max="19" width="6.5546875" bestFit="1" customWidth="1"/>
  </cols>
  <sheetData>
    <row r="1" spans="1:21" ht="18" x14ac:dyDescent="0.35">
      <c r="A1" s="583" t="s">
        <v>189</v>
      </c>
      <c r="B1" s="584"/>
      <c r="C1" s="584"/>
      <c r="D1" s="584"/>
      <c r="E1" s="584"/>
      <c r="F1" s="584"/>
      <c r="G1" s="584"/>
      <c r="H1" s="584"/>
      <c r="I1" s="584"/>
      <c r="J1" s="584"/>
      <c r="K1" s="584"/>
      <c r="L1" s="584"/>
      <c r="M1" s="584"/>
      <c r="N1" s="584"/>
      <c r="O1" s="584"/>
      <c r="P1" s="584"/>
      <c r="Q1" s="584"/>
      <c r="R1" s="585"/>
    </row>
    <row r="2" spans="1:21" ht="21" x14ac:dyDescent="0.3">
      <c r="A2" s="167" t="s">
        <v>190</v>
      </c>
      <c r="B2" s="69"/>
      <c r="C2" s="69"/>
      <c r="D2" s="69"/>
      <c r="E2" s="168">
        <v>0.02</v>
      </c>
      <c r="F2" s="169" t="s">
        <v>58</v>
      </c>
      <c r="G2" s="170"/>
      <c r="H2" s="70"/>
      <c r="I2" s="70"/>
      <c r="J2" s="71"/>
      <c r="K2" s="71"/>
      <c r="L2" s="71"/>
      <c r="M2" s="71"/>
      <c r="N2" s="71"/>
      <c r="O2" s="71"/>
      <c r="P2" s="72"/>
      <c r="Q2" s="72"/>
      <c r="R2" s="73"/>
    </row>
    <row r="3" spans="1:21" ht="48" x14ac:dyDescent="0.3">
      <c r="A3" s="74" t="s">
        <v>191</v>
      </c>
      <c r="B3" s="75" t="s">
        <v>192</v>
      </c>
      <c r="C3" s="75"/>
      <c r="D3" s="75" t="s">
        <v>193</v>
      </c>
      <c r="E3" s="75" t="s">
        <v>194</v>
      </c>
      <c r="F3" s="75" t="s">
        <v>195</v>
      </c>
      <c r="G3" s="76" t="s">
        <v>196</v>
      </c>
      <c r="H3" s="77" t="s">
        <v>65</v>
      </c>
      <c r="I3" s="76" t="s">
        <v>197</v>
      </c>
      <c r="J3" s="77" t="s">
        <v>66</v>
      </c>
      <c r="K3" s="76" t="s">
        <v>198</v>
      </c>
      <c r="L3" s="77" t="s">
        <v>67</v>
      </c>
      <c r="M3" s="76" t="s">
        <v>199</v>
      </c>
      <c r="N3" s="77" t="s">
        <v>97</v>
      </c>
      <c r="O3" s="76" t="s">
        <v>200</v>
      </c>
      <c r="P3" s="78" t="s">
        <v>73</v>
      </c>
      <c r="Q3" s="79" t="s">
        <v>201</v>
      </c>
      <c r="R3" s="75" t="s">
        <v>202</v>
      </c>
      <c r="S3" s="316" t="s">
        <v>3</v>
      </c>
      <c r="T3" s="75" t="s">
        <v>203</v>
      </c>
      <c r="U3" s="75" t="s">
        <v>204</v>
      </c>
    </row>
    <row r="4" spans="1:21" x14ac:dyDescent="0.3">
      <c r="A4" s="80">
        <v>1</v>
      </c>
      <c r="B4" s="163" t="s">
        <v>205</v>
      </c>
      <c r="C4" s="163">
        <f>+A4</f>
        <v>1</v>
      </c>
      <c r="D4" s="163" t="s">
        <v>206</v>
      </c>
      <c r="E4" s="164" t="s">
        <v>207</v>
      </c>
      <c r="F4" s="166">
        <v>20</v>
      </c>
      <c r="G4" s="158">
        <v>0</v>
      </c>
      <c r="H4" s="503">
        <v>0</v>
      </c>
      <c r="I4" s="333">
        <v>0</v>
      </c>
      <c r="J4" s="334">
        <v>0</v>
      </c>
      <c r="K4" s="333">
        <v>0</v>
      </c>
      <c r="L4" s="334">
        <v>0</v>
      </c>
      <c r="M4" s="333">
        <v>0</v>
      </c>
      <c r="N4" s="503">
        <v>0</v>
      </c>
      <c r="O4" s="504">
        <v>0</v>
      </c>
      <c r="P4" s="335">
        <v>0</v>
      </c>
      <c r="Q4" s="336">
        <v>0</v>
      </c>
      <c r="R4" s="165">
        <f t="shared" ref="R4:R23" si="0">(F4*(1+$E$2)^(-G4/30)-((F4*N4)*(1+$E$2)^(-O4/30)))-((F4-(F4*N4))*H4)*(1+$E$2)^(-I4/30)-((F4-(F4*N4))*J4)*(1+$E$2)^(-K4/30)-((F4-(F4*N4))*L4)*(1+$E$2)^(-M4/30)+((F4-(F4*N4))*P4)*(1+$E$2)^(-Q4/30)</f>
        <v>20</v>
      </c>
      <c r="S4" s="315">
        <f>Markup!$B$21</f>
        <v>2.5562372188139051</v>
      </c>
      <c r="T4" s="312">
        <f t="shared" ref="T4:T9" si="1">R4*S4</f>
        <v>51.124744376278102</v>
      </c>
      <c r="U4" s="312">
        <v>4.5</v>
      </c>
    </row>
    <row r="5" spans="1:21" x14ac:dyDescent="0.3">
      <c r="A5" s="505">
        <v>2</v>
      </c>
      <c r="B5" s="163" t="s">
        <v>208</v>
      </c>
      <c r="C5" s="163">
        <f t="shared" ref="C5:C18" si="2">+A5</f>
        <v>2</v>
      </c>
      <c r="D5" s="163" t="s">
        <v>206</v>
      </c>
      <c r="E5" s="164" t="s">
        <v>209</v>
      </c>
      <c r="F5" s="166">
        <v>21</v>
      </c>
      <c r="G5" s="332">
        <v>0</v>
      </c>
      <c r="H5" s="503">
        <v>0</v>
      </c>
      <c r="I5" s="504">
        <v>0</v>
      </c>
      <c r="J5" s="506">
        <v>0</v>
      </c>
      <c r="K5" s="504">
        <v>0</v>
      </c>
      <c r="L5" s="506">
        <v>0</v>
      </c>
      <c r="M5" s="504">
        <v>0</v>
      </c>
      <c r="N5" s="503">
        <v>0</v>
      </c>
      <c r="O5" s="504">
        <v>0</v>
      </c>
      <c r="P5" s="503">
        <v>0</v>
      </c>
      <c r="Q5" s="507">
        <v>0</v>
      </c>
      <c r="R5" s="523">
        <f t="shared" si="0"/>
        <v>21</v>
      </c>
      <c r="S5" s="315">
        <f>Markup!$B$21</f>
        <v>2.5562372188139051</v>
      </c>
      <c r="T5" s="312">
        <f t="shared" si="1"/>
        <v>53.680981595092007</v>
      </c>
      <c r="U5" s="312">
        <v>0</v>
      </c>
    </row>
    <row r="6" spans="1:21" x14ac:dyDescent="0.3">
      <c r="A6" s="505">
        <v>3</v>
      </c>
      <c r="B6" s="524"/>
      <c r="C6" s="163">
        <f t="shared" si="2"/>
        <v>3</v>
      </c>
      <c r="D6" s="524"/>
      <c r="E6" s="525"/>
      <c r="F6" s="526">
        <v>0</v>
      </c>
      <c r="G6" s="527">
        <v>0</v>
      </c>
      <c r="H6" s="503">
        <v>0</v>
      </c>
      <c r="I6" s="504">
        <v>0</v>
      </c>
      <c r="J6" s="506">
        <v>0</v>
      </c>
      <c r="K6" s="504">
        <v>0</v>
      </c>
      <c r="L6" s="506">
        <v>0</v>
      </c>
      <c r="M6" s="504">
        <v>0</v>
      </c>
      <c r="N6" s="503">
        <v>0</v>
      </c>
      <c r="O6" s="504">
        <v>0</v>
      </c>
      <c r="P6" s="503">
        <v>0</v>
      </c>
      <c r="Q6" s="507">
        <v>0</v>
      </c>
      <c r="R6" s="523">
        <f t="shared" si="0"/>
        <v>0</v>
      </c>
      <c r="S6" s="315">
        <f>Markup!$B$21</f>
        <v>2.5562372188139051</v>
      </c>
      <c r="T6" s="312">
        <f t="shared" si="1"/>
        <v>0</v>
      </c>
    </row>
    <row r="7" spans="1:21" x14ac:dyDescent="0.3">
      <c r="A7" s="505">
        <v>4</v>
      </c>
      <c r="B7" s="524"/>
      <c r="C7" s="163">
        <f t="shared" si="2"/>
        <v>4</v>
      </c>
      <c r="D7" s="524"/>
      <c r="E7" s="528"/>
      <c r="F7" s="529">
        <v>0</v>
      </c>
      <c r="G7" s="527">
        <v>0</v>
      </c>
      <c r="H7" s="503">
        <v>0</v>
      </c>
      <c r="I7" s="504">
        <v>0</v>
      </c>
      <c r="J7" s="506">
        <v>0</v>
      </c>
      <c r="K7" s="504">
        <v>0</v>
      </c>
      <c r="L7" s="506">
        <v>0</v>
      </c>
      <c r="M7" s="504">
        <v>0</v>
      </c>
      <c r="N7" s="503">
        <v>0</v>
      </c>
      <c r="O7" s="504">
        <v>0</v>
      </c>
      <c r="P7" s="503">
        <v>0</v>
      </c>
      <c r="Q7" s="530">
        <v>0</v>
      </c>
      <c r="R7" s="531">
        <f t="shared" si="0"/>
        <v>0</v>
      </c>
      <c r="S7" s="315">
        <f>Markup!$B$21</f>
        <v>2.5562372188139051</v>
      </c>
      <c r="T7" s="312">
        <f t="shared" si="1"/>
        <v>0</v>
      </c>
    </row>
    <row r="8" spans="1:21" x14ac:dyDescent="0.3">
      <c r="A8" s="505">
        <v>5</v>
      </c>
      <c r="B8" s="524"/>
      <c r="C8" s="163">
        <f t="shared" si="2"/>
        <v>5</v>
      </c>
      <c r="D8" s="524"/>
      <c r="E8" s="528"/>
      <c r="F8" s="529">
        <v>0</v>
      </c>
      <c r="G8" s="527">
        <v>0</v>
      </c>
      <c r="H8" s="503">
        <v>0.17</v>
      </c>
      <c r="I8" s="504">
        <v>0</v>
      </c>
      <c r="J8" s="506">
        <v>0</v>
      </c>
      <c r="K8" s="504">
        <v>0</v>
      </c>
      <c r="L8" s="506">
        <v>0</v>
      </c>
      <c r="M8" s="504">
        <v>0</v>
      </c>
      <c r="N8" s="503">
        <v>0</v>
      </c>
      <c r="O8" s="504">
        <v>0</v>
      </c>
      <c r="P8" s="503">
        <v>0</v>
      </c>
      <c r="Q8" s="530">
        <v>0</v>
      </c>
      <c r="R8" s="531">
        <f t="shared" si="0"/>
        <v>0</v>
      </c>
      <c r="S8" s="315">
        <f>Markup!$B$21</f>
        <v>2.5562372188139051</v>
      </c>
      <c r="T8" s="312">
        <f t="shared" si="1"/>
        <v>0</v>
      </c>
    </row>
    <row r="9" spans="1:21" x14ac:dyDescent="0.3">
      <c r="A9" s="505">
        <v>6</v>
      </c>
      <c r="B9" s="524"/>
      <c r="C9" s="163">
        <f t="shared" si="2"/>
        <v>6</v>
      </c>
      <c r="D9" s="524"/>
      <c r="E9" s="532"/>
      <c r="F9" s="533">
        <v>0</v>
      </c>
      <c r="G9" s="527">
        <v>0</v>
      </c>
      <c r="H9" s="503">
        <v>0</v>
      </c>
      <c r="I9" s="504">
        <v>0</v>
      </c>
      <c r="J9" s="506">
        <v>0</v>
      </c>
      <c r="K9" s="504">
        <v>0</v>
      </c>
      <c r="L9" s="506">
        <v>0</v>
      </c>
      <c r="M9" s="504">
        <v>0</v>
      </c>
      <c r="N9" s="503">
        <v>0</v>
      </c>
      <c r="O9" s="504">
        <v>0</v>
      </c>
      <c r="P9" s="503">
        <v>0</v>
      </c>
      <c r="Q9" s="504">
        <v>0</v>
      </c>
      <c r="R9" s="531">
        <f t="shared" si="0"/>
        <v>0</v>
      </c>
      <c r="S9" s="315">
        <f>Markup!$B$21</f>
        <v>2.5562372188139051</v>
      </c>
      <c r="T9" s="312">
        <f t="shared" si="1"/>
        <v>0</v>
      </c>
    </row>
    <row r="10" spans="1:21" x14ac:dyDescent="0.3">
      <c r="A10" s="505">
        <v>7</v>
      </c>
      <c r="B10" s="524"/>
      <c r="C10" s="163">
        <f t="shared" si="2"/>
        <v>7</v>
      </c>
      <c r="D10" s="524"/>
      <c r="E10" s="532"/>
      <c r="F10" s="533">
        <v>0</v>
      </c>
      <c r="G10" s="527">
        <v>0</v>
      </c>
      <c r="H10" s="503">
        <v>0</v>
      </c>
      <c r="I10" s="504">
        <v>0</v>
      </c>
      <c r="J10" s="506">
        <v>0</v>
      </c>
      <c r="K10" s="504">
        <v>0</v>
      </c>
      <c r="L10" s="506">
        <v>0</v>
      </c>
      <c r="M10" s="504">
        <v>0</v>
      </c>
      <c r="N10" s="503">
        <v>0</v>
      </c>
      <c r="O10" s="504">
        <v>0</v>
      </c>
      <c r="P10" s="503">
        <v>0</v>
      </c>
      <c r="Q10" s="504">
        <v>0</v>
      </c>
      <c r="R10" s="531">
        <f t="shared" si="0"/>
        <v>0</v>
      </c>
      <c r="S10" s="315">
        <f>Markup!$B$21</f>
        <v>2.5562372188139051</v>
      </c>
      <c r="T10" s="312">
        <f t="shared" ref="T10:T23" si="3">R10*S10</f>
        <v>0</v>
      </c>
    </row>
    <row r="11" spans="1:21" x14ac:dyDescent="0.3">
      <c r="A11" s="505">
        <v>8</v>
      </c>
      <c r="B11" s="524"/>
      <c r="C11" s="163">
        <f t="shared" si="2"/>
        <v>8</v>
      </c>
      <c r="D11" s="524"/>
      <c r="E11" s="532"/>
      <c r="F11" s="533">
        <v>0</v>
      </c>
      <c r="G11" s="527">
        <v>0</v>
      </c>
      <c r="H11" s="503">
        <v>0</v>
      </c>
      <c r="I11" s="504">
        <v>0</v>
      </c>
      <c r="J11" s="506">
        <v>0</v>
      </c>
      <c r="K11" s="504">
        <v>0</v>
      </c>
      <c r="L11" s="506">
        <v>0</v>
      </c>
      <c r="M11" s="504">
        <v>0</v>
      </c>
      <c r="N11" s="503">
        <v>0</v>
      </c>
      <c r="O11" s="504">
        <v>0</v>
      </c>
      <c r="P11" s="503">
        <v>0</v>
      </c>
      <c r="Q11" s="504">
        <v>0</v>
      </c>
      <c r="R11" s="531">
        <f t="shared" si="0"/>
        <v>0</v>
      </c>
      <c r="S11" s="315">
        <f>Markup!$B$21</f>
        <v>2.5562372188139051</v>
      </c>
      <c r="T11" s="312">
        <f t="shared" si="3"/>
        <v>0</v>
      </c>
    </row>
    <row r="12" spans="1:21" x14ac:dyDescent="0.3">
      <c r="A12" s="505">
        <v>9</v>
      </c>
      <c r="B12" s="524"/>
      <c r="C12" s="163">
        <f t="shared" si="2"/>
        <v>9</v>
      </c>
      <c r="D12" s="524"/>
      <c r="E12" s="532"/>
      <c r="F12" s="533">
        <v>0</v>
      </c>
      <c r="G12" s="527">
        <v>0</v>
      </c>
      <c r="H12" s="503">
        <v>0</v>
      </c>
      <c r="I12" s="504">
        <v>0</v>
      </c>
      <c r="J12" s="506">
        <v>0</v>
      </c>
      <c r="K12" s="504">
        <v>0</v>
      </c>
      <c r="L12" s="506">
        <v>0</v>
      </c>
      <c r="M12" s="504">
        <v>0</v>
      </c>
      <c r="N12" s="503">
        <v>0</v>
      </c>
      <c r="O12" s="504">
        <v>0</v>
      </c>
      <c r="P12" s="503">
        <v>0</v>
      </c>
      <c r="Q12" s="504">
        <v>0</v>
      </c>
      <c r="R12" s="531">
        <f t="shared" si="0"/>
        <v>0</v>
      </c>
      <c r="S12" s="315">
        <f>Markup!$B$21</f>
        <v>2.5562372188139051</v>
      </c>
      <c r="T12" s="312">
        <f t="shared" si="3"/>
        <v>0</v>
      </c>
    </row>
    <row r="13" spans="1:21" x14ac:dyDescent="0.3">
      <c r="A13" s="505">
        <v>10</v>
      </c>
      <c r="B13" s="524"/>
      <c r="C13" s="163">
        <f t="shared" si="2"/>
        <v>10</v>
      </c>
      <c r="D13" s="524"/>
      <c r="E13" s="532"/>
      <c r="F13" s="533">
        <v>0</v>
      </c>
      <c r="G13" s="527">
        <v>0</v>
      </c>
      <c r="H13" s="503">
        <v>0</v>
      </c>
      <c r="I13" s="504">
        <v>0</v>
      </c>
      <c r="J13" s="506">
        <v>0</v>
      </c>
      <c r="K13" s="504">
        <v>0</v>
      </c>
      <c r="L13" s="506">
        <v>0</v>
      </c>
      <c r="M13" s="504">
        <v>0</v>
      </c>
      <c r="N13" s="503">
        <v>0</v>
      </c>
      <c r="O13" s="504">
        <v>0</v>
      </c>
      <c r="P13" s="503">
        <v>0</v>
      </c>
      <c r="Q13" s="504">
        <v>0</v>
      </c>
      <c r="R13" s="531">
        <f t="shared" si="0"/>
        <v>0</v>
      </c>
      <c r="S13" s="315">
        <f>Markup!$B$21</f>
        <v>2.5562372188139051</v>
      </c>
      <c r="T13" s="312">
        <f t="shared" si="3"/>
        <v>0</v>
      </c>
    </row>
    <row r="14" spans="1:21" x14ac:dyDescent="0.3">
      <c r="A14" s="505">
        <v>11</v>
      </c>
      <c r="B14" s="524"/>
      <c r="C14" s="163">
        <f t="shared" si="2"/>
        <v>11</v>
      </c>
      <c r="D14" s="524"/>
      <c r="E14" s="532"/>
      <c r="F14" s="533">
        <v>0</v>
      </c>
      <c r="G14" s="527">
        <v>0</v>
      </c>
      <c r="H14" s="503">
        <v>0</v>
      </c>
      <c r="I14" s="504">
        <v>0</v>
      </c>
      <c r="J14" s="506">
        <v>0</v>
      </c>
      <c r="K14" s="504">
        <v>0</v>
      </c>
      <c r="L14" s="506">
        <v>0</v>
      </c>
      <c r="M14" s="504">
        <v>0</v>
      </c>
      <c r="N14" s="503">
        <v>0</v>
      </c>
      <c r="O14" s="504">
        <v>0</v>
      </c>
      <c r="P14" s="503">
        <v>0</v>
      </c>
      <c r="Q14" s="504">
        <v>0</v>
      </c>
      <c r="R14" s="531">
        <f t="shared" si="0"/>
        <v>0</v>
      </c>
      <c r="S14" s="315">
        <f>Markup!$B$21</f>
        <v>2.5562372188139051</v>
      </c>
      <c r="T14" s="312">
        <f t="shared" si="3"/>
        <v>0</v>
      </c>
    </row>
    <row r="15" spans="1:21" x14ac:dyDescent="0.3">
      <c r="A15" s="505">
        <v>12</v>
      </c>
      <c r="B15" s="524"/>
      <c r="C15" s="163">
        <f t="shared" si="2"/>
        <v>12</v>
      </c>
      <c r="D15" s="524"/>
      <c r="E15" s="532"/>
      <c r="F15" s="533">
        <v>0</v>
      </c>
      <c r="G15" s="527">
        <v>0</v>
      </c>
      <c r="H15" s="503">
        <v>0</v>
      </c>
      <c r="I15" s="504">
        <v>0</v>
      </c>
      <c r="J15" s="506">
        <v>0</v>
      </c>
      <c r="K15" s="504">
        <v>0</v>
      </c>
      <c r="L15" s="506">
        <v>0</v>
      </c>
      <c r="M15" s="504">
        <v>0</v>
      </c>
      <c r="N15" s="503">
        <v>0</v>
      </c>
      <c r="O15" s="504">
        <v>0</v>
      </c>
      <c r="P15" s="503">
        <v>0</v>
      </c>
      <c r="Q15" s="504">
        <v>0</v>
      </c>
      <c r="R15" s="531">
        <f t="shared" si="0"/>
        <v>0</v>
      </c>
      <c r="S15" s="315">
        <f>Markup!$B$21</f>
        <v>2.5562372188139051</v>
      </c>
      <c r="T15" s="312">
        <f t="shared" si="3"/>
        <v>0</v>
      </c>
    </row>
    <row r="16" spans="1:21" x14ac:dyDescent="0.3">
      <c r="A16" s="505">
        <v>13</v>
      </c>
      <c r="B16" s="524"/>
      <c r="C16" s="163">
        <f t="shared" si="2"/>
        <v>13</v>
      </c>
      <c r="D16" s="524"/>
      <c r="E16" s="532"/>
      <c r="F16" s="533">
        <v>0</v>
      </c>
      <c r="G16" s="527">
        <v>0</v>
      </c>
      <c r="H16" s="503">
        <v>0</v>
      </c>
      <c r="I16" s="504">
        <v>0</v>
      </c>
      <c r="J16" s="506">
        <v>0</v>
      </c>
      <c r="K16" s="504">
        <v>0</v>
      </c>
      <c r="L16" s="506">
        <v>0</v>
      </c>
      <c r="M16" s="504">
        <v>0</v>
      </c>
      <c r="N16" s="503">
        <v>0</v>
      </c>
      <c r="O16" s="504">
        <v>0</v>
      </c>
      <c r="P16" s="503">
        <v>0</v>
      </c>
      <c r="Q16" s="504">
        <v>0</v>
      </c>
      <c r="R16" s="531">
        <f t="shared" si="0"/>
        <v>0</v>
      </c>
      <c r="S16" s="315">
        <f>Markup!$B$21</f>
        <v>2.5562372188139051</v>
      </c>
      <c r="T16" s="312">
        <f t="shared" si="3"/>
        <v>0</v>
      </c>
    </row>
    <row r="17" spans="1:20" x14ac:dyDescent="0.3">
      <c r="A17" s="505">
        <v>14</v>
      </c>
      <c r="B17" s="524"/>
      <c r="C17" s="163">
        <f t="shared" si="2"/>
        <v>14</v>
      </c>
      <c r="D17" s="524"/>
      <c r="E17" s="532"/>
      <c r="F17" s="533">
        <v>0</v>
      </c>
      <c r="G17" s="527">
        <v>0</v>
      </c>
      <c r="H17" s="503">
        <v>0</v>
      </c>
      <c r="I17" s="504">
        <v>0</v>
      </c>
      <c r="J17" s="506">
        <v>0</v>
      </c>
      <c r="K17" s="504">
        <v>0</v>
      </c>
      <c r="L17" s="506">
        <v>0</v>
      </c>
      <c r="M17" s="504">
        <v>0</v>
      </c>
      <c r="N17" s="503">
        <v>0</v>
      </c>
      <c r="O17" s="504">
        <v>0</v>
      </c>
      <c r="P17" s="503">
        <v>0</v>
      </c>
      <c r="Q17" s="504">
        <v>0</v>
      </c>
      <c r="R17" s="531">
        <f t="shared" si="0"/>
        <v>0</v>
      </c>
      <c r="S17" s="315">
        <f>Markup!$B$21</f>
        <v>2.5562372188139051</v>
      </c>
      <c r="T17" s="312">
        <f t="shared" si="3"/>
        <v>0</v>
      </c>
    </row>
    <row r="18" spans="1:20" x14ac:dyDescent="0.3">
      <c r="A18" s="505">
        <v>15</v>
      </c>
      <c r="B18" s="534"/>
      <c r="C18" s="163">
        <f t="shared" si="2"/>
        <v>15</v>
      </c>
      <c r="D18" s="534"/>
      <c r="E18" s="535"/>
      <c r="F18" s="533">
        <v>0</v>
      </c>
      <c r="G18" s="527">
        <v>0</v>
      </c>
      <c r="H18" s="503">
        <v>0</v>
      </c>
      <c r="I18" s="504">
        <v>0</v>
      </c>
      <c r="J18" s="506">
        <v>0</v>
      </c>
      <c r="K18" s="504">
        <v>0</v>
      </c>
      <c r="L18" s="506">
        <v>0</v>
      </c>
      <c r="M18" s="504">
        <v>0</v>
      </c>
      <c r="N18" s="503">
        <v>0</v>
      </c>
      <c r="O18" s="504">
        <v>0</v>
      </c>
      <c r="P18" s="503">
        <v>0</v>
      </c>
      <c r="Q18" s="504">
        <v>0</v>
      </c>
      <c r="R18" s="531">
        <f t="shared" si="0"/>
        <v>0</v>
      </c>
      <c r="S18" s="315">
        <f>Markup!$B$21</f>
        <v>2.5562372188139051</v>
      </c>
      <c r="T18" s="312">
        <f t="shared" si="3"/>
        <v>0</v>
      </c>
    </row>
    <row r="19" spans="1:20" x14ac:dyDescent="0.3">
      <c r="A19" s="505">
        <v>16</v>
      </c>
      <c r="B19" s="534"/>
      <c r="C19" s="534"/>
      <c r="D19" s="534"/>
      <c r="E19" s="535"/>
      <c r="F19" s="533">
        <v>0</v>
      </c>
      <c r="G19" s="527">
        <v>0</v>
      </c>
      <c r="H19" s="503">
        <v>0</v>
      </c>
      <c r="I19" s="504">
        <v>0</v>
      </c>
      <c r="J19" s="506">
        <v>0</v>
      </c>
      <c r="K19" s="504">
        <v>0</v>
      </c>
      <c r="L19" s="506">
        <v>0</v>
      </c>
      <c r="M19" s="504">
        <v>0</v>
      </c>
      <c r="N19" s="503">
        <v>0</v>
      </c>
      <c r="O19" s="504">
        <v>0</v>
      </c>
      <c r="P19" s="503">
        <v>0</v>
      </c>
      <c r="Q19" s="504">
        <v>0</v>
      </c>
      <c r="R19" s="531">
        <f t="shared" si="0"/>
        <v>0</v>
      </c>
      <c r="S19" s="315">
        <f>Markup!$B$21</f>
        <v>2.5562372188139051</v>
      </c>
      <c r="T19" s="312">
        <f t="shared" si="3"/>
        <v>0</v>
      </c>
    </row>
    <row r="20" spans="1:20" x14ac:dyDescent="0.3">
      <c r="A20" s="505">
        <v>17</v>
      </c>
      <c r="B20" s="534"/>
      <c r="C20" s="534"/>
      <c r="D20" s="534"/>
      <c r="E20" s="535"/>
      <c r="F20" s="533">
        <v>0</v>
      </c>
      <c r="G20" s="527">
        <v>0</v>
      </c>
      <c r="H20" s="503">
        <v>0</v>
      </c>
      <c r="I20" s="504">
        <v>0</v>
      </c>
      <c r="J20" s="506">
        <v>0</v>
      </c>
      <c r="K20" s="504">
        <v>0</v>
      </c>
      <c r="L20" s="506">
        <v>0</v>
      </c>
      <c r="M20" s="504">
        <v>0</v>
      </c>
      <c r="N20" s="503">
        <v>0</v>
      </c>
      <c r="O20" s="504">
        <v>0</v>
      </c>
      <c r="P20" s="503">
        <v>0</v>
      </c>
      <c r="Q20" s="504">
        <v>0</v>
      </c>
      <c r="R20" s="531">
        <f t="shared" si="0"/>
        <v>0</v>
      </c>
      <c r="S20" s="315">
        <f>Markup!$B$21</f>
        <v>2.5562372188139051</v>
      </c>
      <c r="T20" s="312">
        <f t="shared" si="3"/>
        <v>0</v>
      </c>
    </row>
    <row r="21" spans="1:20" x14ac:dyDescent="0.3">
      <c r="A21" s="505">
        <v>18</v>
      </c>
      <c r="B21" s="534"/>
      <c r="C21" s="534"/>
      <c r="D21" s="534"/>
      <c r="E21" s="535"/>
      <c r="F21" s="533">
        <v>0</v>
      </c>
      <c r="G21" s="527">
        <v>0</v>
      </c>
      <c r="H21" s="503">
        <v>0</v>
      </c>
      <c r="I21" s="504">
        <v>0</v>
      </c>
      <c r="J21" s="506">
        <v>0</v>
      </c>
      <c r="K21" s="504">
        <v>0</v>
      </c>
      <c r="L21" s="506">
        <v>0</v>
      </c>
      <c r="M21" s="504">
        <v>0</v>
      </c>
      <c r="N21" s="503">
        <v>0</v>
      </c>
      <c r="O21" s="504">
        <v>0</v>
      </c>
      <c r="P21" s="503">
        <v>0</v>
      </c>
      <c r="Q21" s="504">
        <v>0</v>
      </c>
      <c r="R21" s="531">
        <f t="shared" si="0"/>
        <v>0</v>
      </c>
      <c r="S21" s="315">
        <f>Markup!$B$21</f>
        <v>2.5562372188139051</v>
      </c>
      <c r="T21" s="312">
        <f t="shared" si="3"/>
        <v>0</v>
      </c>
    </row>
    <row r="22" spans="1:20" x14ac:dyDescent="0.3">
      <c r="A22" s="505">
        <v>19</v>
      </c>
      <c r="B22" s="534"/>
      <c r="C22" s="534"/>
      <c r="D22" s="534"/>
      <c r="E22" s="535"/>
      <c r="F22" s="533">
        <v>0</v>
      </c>
      <c r="G22" s="527">
        <v>0</v>
      </c>
      <c r="H22" s="503">
        <v>0</v>
      </c>
      <c r="I22" s="504">
        <v>0</v>
      </c>
      <c r="J22" s="506">
        <v>0</v>
      </c>
      <c r="K22" s="504">
        <v>0</v>
      </c>
      <c r="L22" s="506">
        <v>0</v>
      </c>
      <c r="M22" s="504">
        <v>0</v>
      </c>
      <c r="N22" s="503">
        <v>0</v>
      </c>
      <c r="O22" s="504">
        <v>0</v>
      </c>
      <c r="P22" s="503">
        <v>0</v>
      </c>
      <c r="Q22" s="504">
        <v>0</v>
      </c>
      <c r="R22" s="531">
        <f t="shared" si="0"/>
        <v>0</v>
      </c>
      <c r="S22" s="315">
        <f>Markup!$B$21</f>
        <v>2.5562372188139051</v>
      </c>
      <c r="T22" s="312">
        <f t="shared" si="3"/>
        <v>0</v>
      </c>
    </row>
    <row r="23" spans="1:20" x14ac:dyDescent="0.3">
      <c r="A23" s="536">
        <v>20</v>
      </c>
      <c r="B23" s="537"/>
      <c r="C23" s="537"/>
      <c r="D23" s="537"/>
      <c r="E23" s="538"/>
      <c r="F23" s="539">
        <v>0</v>
      </c>
      <c r="G23" s="540">
        <v>0</v>
      </c>
      <c r="H23" s="541">
        <v>0</v>
      </c>
      <c r="I23" s="542">
        <v>0</v>
      </c>
      <c r="J23" s="543">
        <v>0</v>
      </c>
      <c r="K23" s="542">
        <v>0</v>
      </c>
      <c r="L23" s="543">
        <v>0</v>
      </c>
      <c r="M23" s="542">
        <v>0</v>
      </c>
      <c r="N23" s="541">
        <v>0</v>
      </c>
      <c r="O23" s="542">
        <v>0</v>
      </c>
      <c r="P23" s="541">
        <v>0</v>
      </c>
      <c r="Q23" s="542">
        <v>0</v>
      </c>
      <c r="R23" s="544">
        <f t="shared" si="0"/>
        <v>0</v>
      </c>
      <c r="S23" s="315">
        <f>Markup!$B$21</f>
        <v>2.5562372188139051</v>
      </c>
      <c r="T23" s="312">
        <f t="shared" si="3"/>
        <v>0</v>
      </c>
    </row>
  </sheetData>
  <mergeCells count="1">
    <mergeCell ref="A1:R1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workbookViewId="0">
      <selection sqref="A1:B1"/>
    </sheetView>
  </sheetViews>
  <sheetFormatPr defaultRowHeight="14.4" x14ac:dyDescent="0.3"/>
  <cols>
    <col min="1" max="1" width="15.109375" customWidth="1"/>
    <col min="2" max="2" width="31.109375" customWidth="1"/>
    <col min="4" max="4" width="15.5546875" customWidth="1"/>
    <col min="5" max="5" width="15.6640625" customWidth="1"/>
  </cols>
  <sheetData>
    <row r="1" spans="1:6" x14ac:dyDescent="0.3">
      <c r="A1" s="586" t="s">
        <v>210</v>
      </c>
      <c r="B1" s="587"/>
      <c r="C1" s="588">
        <v>1</v>
      </c>
      <c r="D1" s="589"/>
      <c r="E1" s="590"/>
      <c r="F1" s="337" t="s">
        <v>211</v>
      </c>
    </row>
    <row r="2" spans="1:6" x14ac:dyDescent="0.3">
      <c r="A2" s="591" t="s">
        <v>212</v>
      </c>
      <c r="B2" s="592"/>
      <c r="C2" s="593" t="s">
        <v>0</v>
      </c>
      <c r="D2" s="594"/>
      <c r="E2" s="595"/>
      <c r="F2" s="338"/>
    </row>
    <row r="3" spans="1:6" x14ac:dyDescent="0.3">
      <c r="A3" s="339" t="s">
        <v>213</v>
      </c>
      <c r="B3" s="340" t="s">
        <v>214</v>
      </c>
      <c r="C3" s="339" t="s">
        <v>215</v>
      </c>
      <c r="D3" s="341" t="s">
        <v>216</v>
      </c>
      <c r="E3" s="339" t="s">
        <v>217</v>
      </c>
      <c r="F3" s="341" t="s">
        <v>218</v>
      </c>
    </row>
    <row r="4" spans="1:6" x14ac:dyDescent="0.3">
      <c r="A4" s="342" t="s">
        <v>219</v>
      </c>
      <c r="B4" s="343"/>
      <c r="C4" s="344"/>
      <c r="D4" s="344"/>
      <c r="E4" s="345"/>
      <c r="F4" s="346"/>
    </row>
    <row r="5" spans="1:6" x14ac:dyDescent="0.3">
      <c r="A5" s="347">
        <f>VLOOKUP(B5,'Analise do Preço de Compras'!$B$4:$C$23,2,0)</f>
        <v>1</v>
      </c>
      <c r="B5" s="348" t="s">
        <v>205</v>
      </c>
      <c r="C5" s="349">
        <v>0</v>
      </c>
      <c r="D5" s="350" t="str">
        <f>VLOOKUP($A5,'Analise do Preço de Compras'!$A$4:$R$43,5,FALSE)</f>
        <v>kg</v>
      </c>
      <c r="E5" s="351">
        <f>VLOOKUP($A5,'Analise do Preço de Compras'!$A$4:$R$43,18,FALSE)</f>
        <v>20</v>
      </c>
      <c r="F5" s="352">
        <f t="shared" ref="F5:F16" si="0">IFERROR(C5*E5,0)</f>
        <v>0</v>
      </c>
    </row>
    <row r="6" spans="1:6" x14ac:dyDescent="0.3">
      <c r="A6" s="347">
        <f>VLOOKUP(B6,'Analise do Preço de Compras'!$B$4:$C$23,2,0)</f>
        <v>2</v>
      </c>
      <c r="B6" s="348" t="s">
        <v>208</v>
      </c>
      <c r="C6" s="349">
        <v>0</v>
      </c>
      <c r="D6" s="350" t="str">
        <f>VLOOKUP($A6,'Analise do Preço de Compras'!$A$4:$R$43,5,FALSE)</f>
        <v>m</v>
      </c>
      <c r="E6" s="351">
        <f>VLOOKUP($A6,'Analise do Preço de Compras'!$A$4:$R$43,18,FALSE)</f>
        <v>21</v>
      </c>
      <c r="F6" s="352">
        <f t="shared" si="0"/>
        <v>0</v>
      </c>
    </row>
    <row r="7" spans="1:6" x14ac:dyDescent="0.3">
      <c r="A7" s="347" t="e">
        <f>VLOOKUP(B7,'Analise do Preço de Compras'!$B$4:$C$23,2,0)</f>
        <v>#N/A</v>
      </c>
      <c r="B7" s="348"/>
      <c r="C7" s="349">
        <v>0</v>
      </c>
      <c r="D7" s="350" t="e">
        <f>VLOOKUP($A7,'Analise do Preço de Compras'!$A$4:$R$43,5,FALSE)</f>
        <v>#N/A</v>
      </c>
      <c r="E7" s="351" t="e">
        <f>VLOOKUP($A7,'Analise do Preço de Compras'!$A$4:$R$43,18,FALSE)</f>
        <v>#N/A</v>
      </c>
      <c r="F7" s="352">
        <f t="shared" si="0"/>
        <v>0</v>
      </c>
    </row>
    <row r="8" spans="1:6" x14ac:dyDescent="0.3">
      <c r="A8" s="347" t="e">
        <f>VLOOKUP(B8,'Analise do Preço de Compras'!$B$4:$C$23,2,0)</f>
        <v>#N/A</v>
      </c>
      <c r="B8" s="348"/>
      <c r="C8" s="349">
        <v>0</v>
      </c>
      <c r="D8" s="350" t="e">
        <f>VLOOKUP($A8,'Analise do Preço de Compras'!$A$4:$R$43,5,FALSE)</f>
        <v>#N/A</v>
      </c>
      <c r="E8" s="351" t="e">
        <f>VLOOKUP($A8,'Analise do Preço de Compras'!$A$4:$R$43,18,FALSE)</f>
        <v>#N/A</v>
      </c>
      <c r="F8" s="352">
        <f t="shared" si="0"/>
        <v>0</v>
      </c>
    </row>
    <row r="9" spans="1:6" x14ac:dyDescent="0.3">
      <c r="A9" s="347" t="e">
        <f>VLOOKUP(B9,'Analise do Preço de Compras'!$B$4:$C$23,2,0)</f>
        <v>#N/A</v>
      </c>
      <c r="B9" s="348"/>
      <c r="C9" s="349">
        <v>0</v>
      </c>
      <c r="D9" s="350" t="e">
        <f>VLOOKUP($A9,'Analise do Preço de Compras'!$A$4:$R$43,5,FALSE)</f>
        <v>#N/A</v>
      </c>
      <c r="E9" s="351" t="e">
        <f>VLOOKUP($A9,'Analise do Preço de Compras'!$A$4:$R$43,18,FALSE)</f>
        <v>#N/A</v>
      </c>
      <c r="F9" s="352">
        <f t="shared" si="0"/>
        <v>0</v>
      </c>
    </row>
    <row r="10" spans="1:6" x14ac:dyDescent="0.3">
      <c r="A10" s="347" t="e">
        <f>VLOOKUP(B10,'Analise do Preço de Compras'!$B$4:$C$23,2,0)</f>
        <v>#N/A</v>
      </c>
      <c r="B10" s="348"/>
      <c r="C10" s="349">
        <v>0</v>
      </c>
      <c r="D10" s="350" t="e">
        <f>VLOOKUP($A10,'Analise do Preço de Compras'!$A$4:$R$43,5,FALSE)</f>
        <v>#N/A</v>
      </c>
      <c r="E10" s="351" t="e">
        <f>VLOOKUP($A10,'Analise do Preço de Compras'!$A$4:$R$43,18,FALSE)</f>
        <v>#N/A</v>
      </c>
      <c r="F10" s="352">
        <f t="shared" si="0"/>
        <v>0</v>
      </c>
    </row>
    <row r="11" spans="1:6" x14ac:dyDescent="0.3">
      <c r="A11" s="347" t="e">
        <f>VLOOKUP(B11,'Analise do Preço de Compras'!$B$4:$C$23,2,0)</f>
        <v>#N/A</v>
      </c>
      <c r="B11" s="348"/>
      <c r="C11" s="349">
        <v>0</v>
      </c>
      <c r="D11" s="350" t="e">
        <f>VLOOKUP($A11,'Analise do Preço de Compras'!$A$4:$R$43,5,FALSE)</f>
        <v>#N/A</v>
      </c>
      <c r="E11" s="351" t="e">
        <f>VLOOKUP($A11,'Analise do Preço de Compras'!$A$4:$R$43,18,FALSE)</f>
        <v>#N/A</v>
      </c>
      <c r="F11" s="352">
        <f t="shared" si="0"/>
        <v>0</v>
      </c>
    </row>
    <row r="12" spans="1:6" x14ac:dyDescent="0.3">
      <c r="A12" s="347" t="e">
        <f>VLOOKUP(B12,'Analise do Preço de Compras'!$B$4:$C$23,2,0)</f>
        <v>#N/A</v>
      </c>
      <c r="B12" s="348"/>
      <c r="C12" s="349">
        <v>0</v>
      </c>
      <c r="D12" s="350" t="e">
        <f>VLOOKUP($A12,'Analise do Preço de Compras'!$A$4:$R$43,5,FALSE)</f>
        <v>#N/A</v>
      </c>
      <c r="E12" s="351" t="e">
        <f>VLOOKUP($A12,'Analise do Preço de Compras'!$A$4:$R$43,18,FALSE)</f>
        <v>#N/A</v>
      </c>
      <c r="F12" s="352">
        <f t="shared" si="0"/>
        <v>0</v>
      </c>
    </row>
    <row r="13" spans="1:6" x14ac:dyDescent="0.3">
      <c r="A13" s="347" t="e">
        <f>VLOOKUP(B13,'Analise do Preço de Compras'!$B$4:$C$23,2,0)</f>
        <v>#N/A</v>
      </c>
      <c r="B13" s="348"/>
      <c r="C13" s="349">
        <v>0</v>
      </c>
      <c r="D13" s="350" t="e">
        <f>VLOOKUP($A13,'Analise do Preço de Compras'!$A$4:$R$43,5,FALSE)</f>
        <v>#N/A</v>
      </c>
      <c r="E13" s="351" t="e">
        <f>VLOOKUP($A13,'Analise do Preço de Compras'!$A$4:$R$43,18,FALSE)</f>
        <v>#N/A</v>
      </c>
      <c r="F13" s="352">
        <f t="shared" si="0"/>
        <v>0</v>
      </c>
    </row>
    <row r="14" spans="1:6" x14ac:dyDescent="0.3">
      <c r="A14" s="347" t="e">
        <f>VLOOKUP(B14,'Analise do Preço de Compras'!$B$4:$C$23,2,0)</f>
        <v>#N/A</v>
      </c>
      <c r="B14" s="348"/>
      <c r="C14" s="349">
        <v>0</v>
      </c>
      <c r="D14" s="350" t="e">
        <f>VLOOKUP($A14,'Analise do Preço de Compras'!$A$4:$R$43,5,FALSE)</f>
        <v>#N/A</v>
      </c>
      <c r="E14" s="351" t="e">
        <f>VLOOKUP($A14,'Analise do Preço de Compras'!$A$4:$R$43,18,FALSE)</f>
        <v>#N/A</v>
      </c>
      <c r="F14" s="352">
        <f t="shared" si="0"/>
        <v>0</v>
      </c>
    </row>
    <row r="15" spans="1:6" x14ac:dyDescent="0.3">
      <c r="A15" s="347" t="e">
        <f>VLOOKUP(B15,'Analise do Preço de Compras'!$B$4:$C$23,2,0)</f>
        <v>#N/A</v>
      </c>
      <c r="B15" s="348"/>
      <c r="C15" s="353">
        <v>0</v>
      </c>
      <c r="D15" s="350" t="e">
        <f>VLOOKUP($A15,'Analise do Preço de Compras'!$A$4:$R$43,5,FALSE)</f>
        <v>#N/A</v>
      </c>
      <c r="E15" s="351" t="e">
        <f>VLOOKUP($A15,'Analise do Preço de Compras'!$A$4:$R$43,18,FALSE)</f>
        <v>#N/A</v>
      </c>
      <c r="F15" s="352">
        <f t="shared" si="0"/>
        <v>0</v>
      </c>
    </row>
    <row r="16" spans="1:6" x14ac:dyDescent="0.3">
      <c r="A16" s="347" t="e">
        <f>VLOOKUP(B16,'Analise do Preço de Compras'!$B$4:$C$23,2,0)</f>
        <v>#N/A</v>
      </c>
      <c r="B16" s="348"/>
      <c r="C16" s="354">
        <v>0</v>
      </c>
      <c r="D16" s="350" t="e">
        <f>VLOOKUP($A16,'Analise do Preço de Compras'!$A$4:$R$43,5,FALSE)</f>
        <v>#N/A</v>
      </c>
      <c r="E16" s="351" t="e">
        <f>VLOOKUP($A16,'Analise do Preço de Compras'!$A$4:$R$43,18,FALSE)</f>
        <v>#N/A</v>
      </c>
      <c r="F16" s="352">
        <f t="shared" si="0"/>
        <v>0</v>
      </c>
    </row>
    <row r="17" spans="1:6" x14ac:dyDescent="0.3">
      <c r="A17" s="355" t="s">
        <v>220</v>
      </c>
      <c r="B17" s="356"/>
      <c r="C17" s="356"/>
      <c r="D17" s="357"/>
      <c r="E17" s="356"/>
      <c r="F17" s="358">
        <f>SUM(F5:F14)</f>
        <v>0</v>
      </c>
    </row>
    <row r="18" spans="1:6" x14ac:dyDescent="0.3">
      <c r="A18" s="359" t="s">
        <v>221</v>
      </c>
      <c r="C18" s="360"/>
      <c r="D18" s="360"/>
      <c r="E18" s="361"/>
      <c r="F18" s="362"/>
    </row>
    <row r="19" spans="1:6" x14ac:dyDescent="0.3">
      <c r="A19" s="363">
        <v>120</v>
      </c>
      <c r="B19" s="364">
        <f>'[2]Custo MOD CIF'!$B$4</f>
        <v>0</v>
      </c>
      <c r="C19" s="347"/>
      <c r="D19" s="347" t="s">
        <v>222</v>
      </c>
      <c r="E19" s="351" t="e">
        <f>VLOOKUP($A19,'Analise do Preço de Compras'!$A$4:$R$43,18,FALSE)</f>
        <v>#N/A</v>
      </c>
      <c r="F19" s="352">
        <f>IFERROR(C19*E19,0)</f>
        <v>0</v>
      </c>
    </row>
    <row r="20" spans="1:6" x14ac:dyDescent="0.3">
      <c r="A20" s="363">
        <v>121</v>
      </c>
      <c r="B20" s="364">
        <f>'[2]Custo MOD CIF'!$C$4</f>
        <v>0</v>
      </c>
      <c r="C20" s="347"/>
      <c r="D20" s="347" t="s">
        <v>222</v>
      </c>
      <c r="E20" s="351" t="e">
        <f>VLOOKUP($A20,'Analise do Preço de Compras'!$A$4:$R$43,18,FALSE)</f>
        <v>#N/A</v>
      </c>
      <c r="F20" s="352">
        <f>IFERROR(C20*E20,0)</f>
        <v>0</v>
      </c>
    </row>
    <row r="21" spans="1:6" x14ac:dyDescent="0.3">
      <c r="A21" s="363">
        <v>122</v>
      </c>
      <c r="B21" s="364">
        <f>'[2]Custo MOD CIF'!$D$4</f>
        <v>0</v>
      </c>
      <c r="C21" s="347"/>
      <c r="D21" s="347" t="s">
        <v>222</v>
      </c>
      <c r="E21" s="351" t="e">
        <f>VLOOKUP($A21,'Analise do Preço de Compras'!$A$4:$R$43,18,FALSE)</f>
        <v>#N/A</v>
      </c>
      <c r="F21" s="352">
        <f>IFERROR(C21*E21,0)</f>
        <v>0</v>
      </c>
    </row>
    <row r="22" spans="1:6" x14ac:dyDescent="0.3">
      <c r="A22" s="363">
        <v>123</v>
      </c>
      <c r="B22" s="364">
        <f>'[2]Custo MOD CIF'!$E$4</f>
        <v>0</v>
      </c>
      <c r="C22" s="347"/>
      <c r="D22" s="347" t="s">
        <v>222</v>
      </c>
      <c r="E22" s="351" t="e">
        <f>VLOOKUP($A22,'Analise do Preço de Compras'!$A$4:$R$43,18,FALSE)</f>
        <v>#N/A</v>
      </c>
      <c r="F22" s="352">
        <f>IFERROR(C22*E22,0)</f>
        <v>0</v>
      </c>
    </row>
    <row r="23" spans="1:6" x14ac:dyDescent="0.3">
      <c r="A23" s="363">
        <v>124</v>
      </c>
      <c r="B23" s="364">
        <f>'[2]Custo MOD CIF'!$F$4</f>
        <v>0</v>
      </c>
      <c r="C23" s="347"/>
      <c r="D23" s="347" t="s">
        <v>222</v>
      </c>
      <c r="E23" s="351" t="e">
        <f>VLOOKUP($A23,'Analise do Preço de Compras'!$A$4:$R$43,18,FALSE)</f>
        <v>#N/A</v>
      </c>
      <c r="F23" s="352">
        <f>IFERROR(C23*E23,0)</f>
        <v>0</v>
      </c>
    </row>
    <row r="24" spans="1:6" x14ac:dyDescent="0.3">
      <c r="A24" s="355" t="s">
        <v>220</v>
      </c>
      <c r="B24" s="356"/>
      <c r="C24" s="356"/>
      <c r="D24" s="357"/>
      <c r="E24" s="365"/>
      <c r="F24" s="358">
        <f>SUM(F19:F23)</f>
        <v>0</v>
      </c>
    </row>
    <row r="25" spans="1:6" x14ac:dyDescent="0.3">
      <c r="A25" s="359" t="s">
        <v>223</v>
      </c>
      <c r="C25" s="360"/>
      <c r="D25" s="360"/>
      <c r="E25" s="366"/>
      <c r="F25" s="362"/>
    </row>
    <row r="26" spans="1:6" x14ac:dyDescent="0.3">
      <c r="A26" s="363">
        <f>'[2]Custo MOD CIF'!$B$3</f>
        <v>120</v>
      </c>
      <c r="B26" s="364">
        <f>'[2]Custo MOD CIF'!$B$4</f>
        <v>0</v>
      </c>
      <c r="C26" s="347"/>
      <c r="D26" s="347" t="s">
        <v>222</v>
      </c>
      <c r="E26" s="351" t="e">
        <f>VLOOKUP($A26,'Analise do Preço de Compras'!$A$4:$R$43,18,FALSE)</f>
        <v>#N/A</v>
      </c>
      <c r="F26" s="352">
        <f>IFERROR(C26*E26,0)</f>
        <v>0</v>
      </c>
    </row>
    <row r="27" spans="1:6" x14ac:dyDescent="0.3">
      <c r="A27" s="363">
        <f>'[2]Custo MOD CIF'!$C$3</f>
        <v>121</v>
      </c>
      <c r="B27" s="364">
        <f>'[2]Custo MOD CIF'!$C$4</f>
        <v>0</v>
      </c>
      <c r="C27" s="347"/>
      <c r="D27" s="347" t="s">
        <v>222</v>
      </c>
      <c r="E27" s="351" t="e">
        <f>VLOOKUP($A27,'Analise do Preço de Compras'!$A$4:$R$43,18,FALSE)</f>
        <v>#N/A</v>
      </c>
      <c r="F27" s="352">
        <f>IFERROR(C27*E27,0)</f>
        <v>0</v>
      </c>
    </row>
    <row r="28" spans="1:6" x14ac:dyDescent="0.3">
      <c r="A28" s="363">
        <f>'[2]Custo MOD CIF'!$D$3</f>
        <v>122</v>
      </c>
      <c r="B28" s="364">
        <f>'[2]Custo MOD CIF'!$D$4</f>
        <v>0</v>
      </c>
      <c r="C28" s="347"/>
      <c r="D28" s="347" t="s">
        <v>222</v>
      </c>
      <c r="E28" s="351" t="e">
        <f>VLOOKUP($A28,'Analise do Preço de Compras'!$A$4:$R$43,18,FALSE)</f>
        <v>#N/A</v>
      </c>
      <c r="F28" s="352">
        <f>IFERROR(C28*E28,0)</f>
        <v>0</v>
      </c>
    </row>
    <row r="29" spans="1:6" x14ac:dyDescent="0.3">
      <c r="A29" s="363">
        <f>'[2]Custo MOD CIF'!$E$3</f>
        <v>123</v>
      </c>
      <c r="B29" s="364">
        <f>'[2]Custo MOD CIF'!$E$4</f>
        <v>0</v>
      </c>
      <c r="C29" s="347"/>
      <c r="D29" s="347" t="s">
        <v>222</v>
      </c>
      <c r="E29" s="351" t="e">
        <f>VLOOKUP($A29,'Analise do Preço de Compras'!$A$4:$R$43,18,FALSE)</f>
        <v>#N/A</v>
      </c>
      <c r="F29" s="352">
        <f>IFERROR(C29*E29,0)</f>
        <v>0</v>
      </c>
    </row>
    <row r="30" spans="1:6" x14ac:dyDescent="0.3">
      <c r="A30" s="363">
        <f>'[2]Custo MOD CIF'!$F$3</f>
        <v>124</v>
      </c>
      <c r="B30" s="364">
        <f>'[2]Custo MOD CIF'!$F$4</f>
        <v>0</v>
      </c>
      <c r="C30" s="347"/>
      <c r="D30" s="347" t="s">
        <v>222</v>
      </c>
      <c r="E30" s="351" t="e">
        <f>VLOOKUP($A30,'Analise do Preço de Compras'!$A$4:$R$43,18,FALSE)</f>
        <v>#N/A</v>
      </c>
      <c r="F30" s="352">
        <f>IFERROR(C30*E30,0)</f>
        <v>0</v>
      </c>
    </row>
    <row r="31" spans="1:6" x14ac:dyDescent="0.3">
      <c r="A31" s="355" t="s">
        <v>220</v>
      </c>
      <c r="B31" s="356"/>
      <c r="C31" s="356"/>
      <c r="D31" s="357"/>
      <c r="E31" s="356"/>
      <c r="F31" s="358">
        <f>SUM(F26:F30)</f>
        <v>0</v>
      </c>
    </row>
    <row r="32" spans="1:6" x14ac:dyDescent="0.3">
      <c r="A32" s="367"/>
      <c r="B32" s="367" t="s">
        <v>224</v>
      </c>
      <c r="C32" s="368"/>
      <c r="D32" s="369"/>
      <c r="E32" s="368"/>
      <c r="F32" s="370">
        <f>F17+F24+F31</f>
        <v>0</v>
      </c>
    </row>
    <row r="33" spans="1:6" x14ac:dyDescent="0.3">
      <c r="A33" s="371"/>
      <c r="B33" s="367" t="s">
        <v>225</v>
      </c>
      <c r="C33" s="368"/>
      <c r="D33" s="369"/>
      <c r="E33" s="368"/>
      <c r="F33" s="372">
        <f>Markup!B21</f>
        <v>2.5562372188139051</v>
      </c>
    </row>
    <row r="34" spans="1:6" x14ac:dyDescent="0.3">
      <c r="A34" s="373"/>
      <c r="B34" s="374" t="s">
        <v>226</v>
      </c>
      <c r="C34" s="375"/>
      <c r="D34" s="376"/>
      <c r="E34" s="375"/>
      <c r="F34" s="377">
        <f>F32*F33</f>
        <v>0</v>
      </c>
    </row>
  </sheetData>
  <mergeCells count="4">
    <mergeCell ref="A1:B1"/>
    <mergeCell ref="C1:E1"/>
    <mergeCell ref="A2:B2"/>
    <mergeCell ref="C2:E2"/>
  </mergeCells>
  <hyperlinks>
    <hyperlink ref="A1:B1" location="'Movimento de Caixa'!A1" display="Referência do Produto"/>
  </hyperlink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'Analise do Preço de Compras'!$B$4:$B$23</xm:f>
          </x14:formula1>
          <xm:sqref>B5:B16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CCFF"/>
  </sheetPr>
  <dimension ref="A1:AC1004"/>
  <sheetViews>
    <sheetView showGridLines="0" zoomScale="136" zoomScaleNormal="136" workbookViewId="0">
      <pane xSplit="1" topLeftCell="B1" activePane="topRight" state="frozen"/>
      <selection pane="topRight" activeCell="B8" sqref="B8"/>
    </sheetView>
  </sheetViews>
  <sheetFormatPr defaultColWidth="14.44140625" defaultRowHeight="15" customHeight="1" x14ac:dyDescent="0.3"/>
  <cols>
    <col min="1" max="1" width="37.6640625" customWidth="1"/>
    <col min="2" max="2" width="10.6640625" bestFit="1" customWidth="1"/>
    <col min="3" max="3" width="9" customWidth="1"/>
    <col min="4" max="6" width="7.6640625" customWidth="1"/>
    <col min="7" max="7" width="9" customWidth="1"/>
    <col min="8" max="8" width="7.6640625" customWidth="1"/>
    <col min="9" max="9" width="9" customWidth="1"/>
    <col min="10" max="10" width="7.6640625" customWidth="1"/>
    <col min="11" max="11" width="9" customWidth="1"/>
    <col min="12" max="12" width="7.6640625" customWidth="1"/>
    <col min="13" max="23" width="9" customWidth="1"/>
    <col min="24" max="24" width="9.5546875" customWidth="1"/>
    <col min="25" max="27" width="9" customWidth="1"/>
    <col min="28" max="28" width="1.88671875" customWidth="1"/>
    <col min="29" max="29" width="8" customWidth="1"/>
  </cols>
  <sheetData>
    <row r="1" spans="1:29" ht="42" customHeight="1" x14ac:dyDescent="0.3">
      <c r="A1" s="68"/>
      <c r="B1" s="600" t="s">
        <v>227</v>
      </c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  <c r="Y1" s="601"/>
      <c r="Z1" s="508" t="s">
        <v>228</v>
      </c>
      <c r="AA1" s="508">
        <v>2024</v>
      </c>
      <c r="AB1" s="4"/>
      <c r="AC1" s="4"/>
    </row>
    <row r="2" spans="1:29" ht="14.4" hidden="1" x14ac:dyDescent="0.3">
      <c r="A2" s="68"/>
      <c r="B2" s="509" t="e">
        <f>'DRE  PREVISTO'!C4</f>
        <v>#REF!</v>
      </c>
      <c r="C2" s="510" t="e">
        <f>'DRE  PREVISTO'!D4</f>
        <v>#REF!</v>
      </c>
      <c r="D2" s="509" t="e">
        <f>'DRE  PREVISTO'!E4</f>
        <v>#REF!</v>
      </c>
      <c r="E2" s="510" t="e">
        <f>'DRE  PREVISTO'!F4</f>
        <v>#REF!</v>
      </c>
      <c r="F2" s="509" t="e">
        <f>'DRE  PREVISTO'!G4</f>
        <v>#REF!</v>
      </c>
      <c r="G2" s="510" t="e">
        <f>'DRE  PREVISTO'!H4</f>
        <v>#REF!</v>
      </c>
      <c r="H2" s="509" t="e">
        <f>'DRE  PREVISTO'!I4</f>
        <v>#REF!</v>
      </c>
      <c r="I2" s="510" t="e">
        <f>'DRE  PREVISTO'!J4</f>
        <v>#REF!</v>
      </c>
      <c r="J2" s="509" t="e">
        <f>'DRE  PREVISTO'!K4</f>
        <v>#REF!</v>
      </c>
      <c r="K2" s="510" t="e">
        <f>'DRE  PREVISTO'!L4</f>
        <v>#REF!</v>
      </c>
      <c r="L2" s="509" t="e">
        <f>'DRE  PREVISTO'!M4</f>
        <v>#REF!</v>
      </c>
      <c r="M2" s="510" t="e">
        <f>'DRE  PREVISTO'!N4</f>
        <v>#REF!</v>
      </c>
      <c r="N2" s="509" t="e">
        <f>'DRE  PREVISTO'!O4</f>
        <v>#REF!</v>
      </c>
      <c r="O2" s="510" t="e">
        <f>'DRE  PREVISTO'!P4</f>
        <v>#REF!</v>
      </c>
      <c r="P2" s="509" t="e">
        <f>'DRE  PREVISTO'!Q4</f>
        <v>#REF!</v>
      </c>
      <c r="Q2" s="510" t="e">
        <f>'DRE  PREVISTO'!R4</f>
        <v>#REF!</v>
      </c>
      <c r="R2" s="509" t="e">
        <f>'DRE  PREVISTO'!S4</f>
        <v>#REF!</v>
      </c>
      <c r="S2" s="510" t="e">
        <f>'DRE  PREVISTO'!T4</f>
        <v>#REF!</v>
      </c>
      <c r="T2" s="509" t="e">
        <f>'DRE  PREVISTO'!U4</f>
        <v>#REF!</v>
      </c>
      <c r="U2" s="510" t="e">
        <f>'DRE  PREVISTO'!V4</f>
        <v>#REF!</v>
      </c>
      <c r="V2" s="509" t="e">
        <f>'DRE  PREVISTO'!W4</f>
        <v>#REF!</v>
      </c>
      <c r="W2" s="510" t="e">
        <f>'DRE  PREVISTO'!X4</f>
        <v>#REF!</v>
      </c>
      <c r="X2" s="509" t="e">
        <f>'DRE  PREVISTO'!Y4</f>
        <v>#REF!</v>
      </c>
      <c r="Y2" s="510" t="e">
        <f>'DRE  PREVISTO'!Z4</f>
        <v>#REF!</v>
      </c>
      <c r="Z2" s="511"/>
      <c r="AA2" s="24"/>
      <c r="AB2" s="24"/>
      <c r="AC2" s="24"/>
    </row>
    <row r="3" spans="1:29" ht="14.4" hidden="1" x14ac:dyDescent="0.3">
      <c r="A3" s="68"/>
      <c r="B3" s="509" t="e">
        <f>'DRE  PREVISTO'!C5</f>
        <v>#REF!</v>
      </c>
      <c r="C3" s="510" t="e">
        <f>'DRE  PREVISTO'!D5</f>
        <v>#REF!</v>
      </c>
      <c r="D3" s="509" t="e">
        <f>'DRE  PREVISTO'!E5</f>
        <v>#REF!</v>
      </c>
      <c r="E3" s="510" t="e">
        <f>'DRE  PREVISTO'!F5</f>
        <v>#REF!</v>
      </c>
      <c r="F3" s="509" t="e">
        <f>'DRE  PREVISTO'!G5</f>
        <v>#REF!</v>
      </c>
      <c r="G3" s="510" t="e">
        <f>'DRE  PREVISTO'!H5</f>
        <v>#REF!</v>
      </c>
      <c r="H3" s="509" t="e">
        <f>'DRE  PREVISTO'!I5</f>
        <v>#REF!</v>
      </c>
      <c r="I3" s="510" t="e">
        <f>'DRE  PREVISTO'!J5</f>
        <v>#REF!</v>
      </c>
      <c r="J3" s="509" t="e">
        <f>'DRE  PREVISTO'!K5</f>
        <v>#REF!</v>
      </c>
      <c r="K3" s="510" t="e">
        <f>'DRE  PREVISTO'!L5</f>
        <v>#REF!</v>
      </c>
      <c r="L3" s="509" t="e">
        <f>'DRE  PREVISTO'!M5</f>
        <v>#REF!</v>
      </c>
      <c r="M3" s="510" t="e">
        <f>'DRE  PREVISTO'!N5</f>
        <v>#REF!</v>
      </c>
      <c r="N3" s="509" t="e">
        <f>'DRE  PREVISTO'!O5</f>
        <v>#REF!</v>
      </c>
      <c r="O3" s="510" t="e">
        <f>'DRE  PREVISTO'!P5</f>
        <v>#REF!</v>
      </c>
      <c r="P3" s="509" t="e">
        <f>'DRE  PREVISTO'!Q5</f>
        <v>#REF!</v>
      </c>
      <c r="Q3" s="510" t="e">
        <f>'DRE  PREVISTO'!R5</f>
        <v>#REF!</v>
      </c>
      <c r="R3" s="509" t="e">
        <f>'DRE  PREVISTO'!S5</f>
        <v>#REF!</v>
      </c>
      <c r="S3" s="510" t="e">
        <f>'DRE  PREVISTO'!T5</f>
        <v>#REF!</v>
      </c>
      <c r="T3" s="509" t="e">
        <f>'DRE  PREVISTO'!U5</f>
        <v>#REF!</v>
      </c>
      <c r="U3" s="510" t="e">
        <f>'DRE  PREVISTO'!V5</f>
        <v>#REF!</v>
      </c>
      <c r="V3" s="509" t="e">
        <f>'DRE  PREVISTO'!W5</f>
        <v>#REF!</v>
      </c>
      <c r="W3" s="510" t="e">
        <f>'DRE  PREVISTO'!X5</f>
        <v>#REF!</v>
      </c>
      <c r="X3" s="509" t="e">
        <f>'DRE  PREVISTO'!Y5</f>
        <v>#REF!</v>
      </c>
      <c r="Y3" s="510" t="e">
        <f>'DRE  PREVISTO'!Z5</f>
        <v>#REF!</v>
      </c>
      <c r="Z3" s="511"/>
      <c r="AA3" s="24"/>
      <c r="AB3" s="24"/>
      <c r="AC3" s="24"/>
    </row>
    <row r="4" spans="1:29" ht="14.4" hidden="1" x14ac:dyDescent="0.3">
      <c r="A4" s="1"/>
      <c r="B4" s="136">
        <v>1</v>
      </c>
      <c r="C4" s="3"/>
      <c r="D4" s="136" t="e">
        <f>MONTH(D3)</f>
        <v>#REF!</v>
      </c>
      <c r="F4" s="136" t="e">
        <f>MONTH(F3)</f>
        <v>#REF!</v>
      </c>
      <c r="H4" s="136" t="e">
        <f>MONTH(H3)</f>
        <v>#REF!</v>
      </c>
      <c r="J4" s="136" t="e">
        <f>MONTH(J3)</f>
        <v>#REF!</v>
      </c>
      <c r="L4" s="136" t="e">
        <f>MONTH(L3)</f>
        <v>#REF!</v>
      </c>
      <c r="N4" s="136" t="e">
        <f>MONTH(N3)</f>
        <v>#REF!</v>
      </c>
      <c r="P4" s="136" t="e">
        <f>MONTH(P3)</f>
        <v>#REF!</v>
      </c>
      <c r="R4" s="136" t="e">
        <f>MONTH(R3)</f>
        <v>#REF!</v>
      </c>
      <c r="T4" s="136" t="e">
        <f>MONTH(T3)</f>
        <v>#REF!</v>
      </c>
      <c r="V4" s="136" t="e">
        <f>MONTH(V3)</f>
        <v>#REF!</v>
      </c>
      <c r="X4" s="136" t="e">
        <f>MONTH(X3)</f>
        <v>#REF!</v>
      </c>
    </row>
    <row r="5" spans="1:29" ht="15.75" customHeight="1" x14ac:dyDescent="0.3">
      <c r="A5" s="602" t="s">
        <v>229</v>
      </c>
      <c r="B5" s="596">
        <f>'DRE  PREVISTO'!C3</f>
        <v>46023</v>
      </c>
      <c r="C5" s="597"/>
      <c r="D5" s="596">
        <f>'DRE  PREVISTO'!E3</f>
        <v>46054</v>
      </c>
      <c r="E5" s="597"/>
      <c r="F5" s="596">
        <f>'DRE  PREVISTO'!G3</f>
        <v>46082</v>
      </c>
      <c r="G5" s="597"/>
      <c r="H5" s="596">
        <f>'DRE  PREVISTO'!I3</f>
        <v>46113</v>
      </c>
      <c r="I5" s="597"/>
      <c r="J5" s="596">
        <f>'DRE  PREVISTO'!K3</f>
        <v>46143</v>
      </c>
      <c r="K5" s="597"/>
      <c r="L5" s="596">
        <f>'DRE  PREVISTO'!M3</f>
        <v>46174</v>
      </c>
      <c r="M5" s="597"/>
      <c r="N5" s="596">
        <f>'DRE  PREVISTO'!O3</f>
        <v>46204</v>
      </c>
      <c r="O5" s="597"/>
      <c r="P5" s="596">
        <f>'DRE  PREVISTO'!Q3</f>
        <v>46235</v>
      </c>
      <c r="Q5" s="597"/>
      <c r="R5" s="596">
        <f>'DRE  PREVISTO'!S3</f>
        <v>46266</v>
      </c>
      <c r="S5" s="597"/>
      <c r="T5" s="596">
        <f>'DRE  PREVISTO'!U3</f>
        <v>46296</v>
      </c>
      <c r="U5" s="597"/>
      <c r="V5" s="596">
        <f>'DRE  PREVISTO'!W3</f>
        <v>46327</v>
      </c>
      <c r="W5" s="597"/>
      <c r="X5" s="596">
        <f>'DRE  PREVISTO'!Y3</f>
        <v>46357</v>
      </c>
      <c r="Y5" s="597"/>
      <c r="Z5" s="598" t="s">
        <v>230</v>
      </c>
      <c r="AA5" s="599"/>
      <c r="AC5" s="1"/>
    </row>
    <row r="6" spans="1:29" ht="15.75" customHeight="1" x14ac:dyDescent="0.3">
      <c r="A6" s="603"/>
      <c r="B6" s="5" t="s">
        <v>231</v>
      </c>
      <c r="C6" s="5" t="s">
        <v>232</v>
      </c>
      <c r="D6" s="5" t="s">
        <v>231</v>
      </c>
      <c r="E6" s="5" t="s">
        <v>232</v>
      </c>
      <c r="F6" s="5" t="s">
        <v>231</v>
      </c>
      <c r="G6" s="5" t="s">
        <v>232</v>
      </c>
      <c r="H6" s="5" t="s">
        <v>231</v>
      </c>
      <c r="I6" s="5" t="s">
        <v>232</v>
      </c>
      <c r="J6" s="5" t="s">
        <v>231</v>
      </c>
      <c r="K6" s="5" t="s">
        <v>232</v>
      </c>
      <c r="L6" s="5" t="s">
        <v>231</v>
      </c>
      <c r="M6" s="5" t="s">
        <v>232</v>
      </c>
      <c r="N6" s="5" t="s">
        <v>231</v>
      </c>
      <c r="O6" s="5" t="s">
        <v>232</v>
      </c>
      <c r="P6" s="5" t="s">
        <v>231</v>
      </c>
      <c r="Q6" s="5" t="s">
        <v>232</v>
      </c>
      <c r="R6" s="5" t="s">
        <v>231</v>
      </c>
      <c r="S6" s="5" t="s">
        <v>232</v>
      </c>
      <c r="T6" s="5" t="s">
        <v>231</v>
      </c>
      <c r="U6" s="5" t="s">
        <v>232</v>
      </c>
      <c r="V6" s="5" t="s">
        <v>231</v>
      </c>
      <c r="W6" s="5" t="s">
        <v>232</v>
      </c>
      <c r="X6" s="5" t="s">
        <v>231</v>
      </c>
      <c r="Y6" s="5" t="s">
        <v>232</v>
      </c>
      <c r="Z6" s="5" t="s">
        <v>231</v>
      </c>
      <c r="AA6" s="5" t="s">
        <v>232</v>
      </c>
      <c r="AC6" s="1"/>
    </row>
    <row r="7" spans="1:29" ht="14.4" x14ac:dyDescent="0.3">
      <c r="A7" s="6" t="s">
        <v>233</v>
      </c>
      <c r="B7" s="183">
        <v>5000</v>
      </c>
      <c r="C7" s="184">
        <v>0</v>
      </c>
      <c r="D7" s="7">
        <f t="shared" ref="D7:Y7" si="0">B40</f>
        <v>8513.3487058823521</v>
      </c>
      <c r="E7" s="8">
        <f t="shared" si="0"/>
        <v>0</v>
      </c>
      <c r="F7" s="7">
        <f t="shared" si="0"/>
        <v>8768.1680000000051</v>
      </c>
      <c r="G7" s="8">
        <f t="shared" si="0"/>
        <v>0</v>
      </c>
      <c r="H7" s="7">
        <f t="shared" si="0"/>
        <v>3764.4578823529519</v>
      </c>
      <c r="I7" s="8">
        <f t="shared" si="0"/>
        <v>0</v>
      </c>
      <c r="J7" s="7">
        <f t="shared" si="0"/>
        <v>2260.7477647058986</v>
      </c>
      <c r="K7" s="8">
        <f t="shared" si="0"/>
        <v>0</v>
      </c>
      <c r="L7" s="7">
        <f t="shared" si="0"/>
        <v>2257.0376470588453</v>
      </c>
      <c r="M7" s="8">
        <f t="shared" si="0"/>
        <v>0</v>
      </c>
      <c r="N7" s="7">
        <f t="shared" si="0"/>
        <v>4770.3863529411974</v>
      </c>
      <c r="O7" s="8">
        <f t="shared" si="0"/>
        <v>0</v>
      </c>
      <c r="P7" s="7">
        <f t="shared" si="0"/>
        <v>3283.7350588235495</v>
      </c>
      <c r="Q7" s="8">
        <f t="shared" si="0"/>
        <v>0</v>
      </c>
      <c r="R7" s="7">
        <f t="shared" si="0"/>
        <v>-3719.9750588235038</v>
      </c>
      <c r="S7" s="8">
        <f t="shared" si="0"/>
        <v>0</v>
      </c>
      <c r="T7" s="7">
        <f t="shared" si="0"/>
        <v>-6723.6851764705571</v>
      </c>
      <c r="U7" s="8">
        <f t="shared" si="0"/>
        <v>0</v>
      </c>
      <c r="V7" s="7">
        <f t="shared" si="0"/>
        <v>-6727.3952941176103</v>
      </c>
      <c r="W7" s="8">
        <f t="shared" si="0"/>
        <v>0</v>
      </c>
      <c r="X7" s="7">
        <f t="shared" si="0"/>
        <v>-6731.1054117646636</v>
      </c>
      <c r="Y7" s="8">
        <f t="shared" si="0"/>
        <v>0</v>
      </c>
      <c r="Z7" s="7">
        <f>B7</f>
        <v>5000</v>
      </c>
      <c r="AA7" s="8">
        <f>C7</f>
        <v>0</v>
      </c>
      <c r="AB7" s="9"/>
      <c r="AC7" s="9"/>
    </row>
    <row r="8" spans="1:29" ht="14.4" x14ac:dyDescent="0.3">
      <c r="A8" s="10" t="s">
        <v>234</v>
      </c>
      <c r="B8" s="185"/>
      <c r="C8" s="186"/>
      <c r="D8" s="11"/>
      <c r="E8" s="12"/>
      <c r="F8" s="11"/>
      <c r="G8" s="12"/>
      <c r="H8" s="11"/>
      <c r="I8" s="12"/>
      <c r="J8" s="11"/>
      <c r="K8" s="12"/>
      <c r="L8" s="11"/>
      <c r="M8" s="12"/>
      <c r="N8" s="11"/>
      <c r="O8" s="12"/>
      <c r="P8" s="11"/>
      <c r="Q8" s="12"/>
      <c r="R8" s="11"/>
      <c r="S8" s="12"/>
      <c r="T8" s="11"/>
      <c r="U8" s="12"/>
      <c r="V8" s="11"/>
      <c r="W8" s="12"/>
      <c r="X8" s="11"/>
      <c r="Y8" s="12"/>
      <c r="Z8" s="11"/>
      <c r="AA8" s="12"/>
      <c r="AB8" s="9"/>
      <c r="AC8" s="9"/>
    </row>
    <row r="9" spans="1:29" ht="14.25" customHeight="1" x14ac:dyDescent="0.3">
      <c r="A9" s="6" t="s">
        <v>35</v>
      </c>
      <c r="B9" s="6">
        <f t="shared" ref="B9:AA9" si="1">SUM(B10:B11)</f>
        <v>48000</v>
      </c>
      <c r="C9" s="13">
        <f t="shared" si="1"/>
        <v>0</v>
      </c>
      <c r="D9" s="6">
        <f t="shared" si="1"/>
        <v>47500</v>
      </c>
      <c r="E9" s="13">
        <f t="shared" si="1"/>
        <v>0</v>
      </c>
      <c r="F9" s="6">
        <f t="shared" si="1"/>
        <v>45000</v>
      </c>
      <c r="G9" s="13">
        <f t="shared" si="1"/>
        <v>0</v>
      </c>
      <c r="H9" s="6">
        <f t="shared" si="1"/>
        <v>48500</v>
      </c>
      <c r="I9" s="13">
        <f t="shared" si="1"/>
        <v>0</v>
      </c>
      <c r="J9" s="6">
        <f t="shared" si="1"/>
        <v>50000</v>
      </c>
      <c r="K9" s="13">
        <f t="shared" si="1"/>
        <v>0</v>
      </c>
      <c r="L9" s="6">
        <f t="shared" si="1"/>
        <v>47000</v>
      </c>
      <c r="M9" s="13">
        <f t="shared" si="1"/>
        <v>0</v>
      </c>
      <c r="N9" s="6">
        <f t="shared" si="1"/>
        <v>43000</v>
      </c>
      <c r="O9" s="13">
        <f t="shared" si="1"/>
        <v>0</v>
      </c>
      <c r="P9" s="6">
        <f t="shared" si="1"/>
        <v>43000</v>
      </c>
      <c r="Q9" s="13">
        <f t="shared" si="1"/>
        <v>0</v>
      </c>
      <c r="R9" s="6">
        <f t="shared" si="1"/>
        <v>47000</v>
      </c>
      <c r="S9" s="13">
        <f t="shared" si="1"/>
        <v>0</v>
      </c>
      <c r="T9" s="6">
        <f t="shared" si="1"/>
        <v>50000</v>
      </c>
      <c r="U9" s="13">
        <f t="shared" si="1"/>
        <v>0</v>
      </c>
      <c r="V9" s="6">
        <f t="shared" si="1"/>
        <v>50000</v>
      </c>
      <c r="W9" s="13">
        <f t="shared" si="1"/>
        <v>0</v>
      </c>
      <c r="X9" s="6">
        <f t="shared" si="1"/>
        <v>59000</v>
      </c>
      <c r="Y9" s="13">
        <f t="shared" si="1"/>
        <v>0</v>
      </c>
      <c r="Z9" s="6">
        <f t="shared" si="1"/>
        <v>578000</v>
      </c>
      <c r="AA9" s="13">
        <f t="shared" si="1"/>
        <v>0</v>
      </c>
      <c r="AB9" s="9"/>
      <c r="AC9" s="9"/>
    </row>
    <row r="10" spans="1:29" ht="14.4" x14ac:dyDescent="0.3">
      <c r="A10" s="14" t="s">
        <v>235</v>
      </c>
      <c r="B10" s="15">
        <v>48000</v>
      </c>
      <c r="C10" s="16">
        <v>0</v>
      </c>
      <c r="D10" s="15">
        <v>47500</v>
      </c>
      <c r="E10" s="16">
        <v>0</v>
      </c>
      <c r="F10" s="15">
        <f>'Distribuição do Recebimento'!G30</f>
        <v>45000</v>
      </c>
      <c r="G10" s="16">
        <v>0</v>
      </c>
      <c r="H10" s="15">
        <f>'Distribuição do Recebimento'!H30</f>
        <v>48500</v>
      </c>
      <c r="I10" s="16">
        <v>0</v>
      </c>
      <c r="J10" s="15">
        <f>'Distribuição do Recebimento'!I30</f>
        <v>50000</v>
      </c>
      <c r="K10" s="16">
        <v>0</v>
      </c>
      <c r="L10" s="15">
        <f>'Distribuição do Recebimento'!J30</f>
        <v>47000</v>
      </c>
      <c r="M10" s="16">
        <v>0</v>
      </c>
      <c r="N10" s="15">
        <f>'Distribuição do Recebimento'!K30</f>
        <v>43000</v>
      </c>
      <c r="O10" s="16">
        <v>0</v>
      </c>
      <c r="P10" s="15">
        <f>'Distribuição do Recebimento'!L30</f>
        <v>43000</v>
      </c>
      <c r="Q10" s="16">
        <v>0</v>
      </c>
      <c r="R10" s="15">
        <f>'Distribuição do Recebimento'!M30</f>
        <v>47000</v>
      </c>
      <c r="S10" s="16">
        <v>0</v>
      </c>
      <c r="T10" s="15">
        <f>'Distribuição do Recebimento'!N30</f>
        <v>50000</v>
      </c>
      <c r="U10" s="16">
        <v>0</v>
      </c>
      <c r="V10" s="15">
        <f>'Distribuição do Recebimento'!O30</f>
        <v>50000</v>
      </c>
      <c r="W10" s="16">
        <v>0</v>
      </c>
      <c r="X10" s="15">
        <f>'Distribuição do Recebimento'!P30</f>
        <v>59000</v>
      </c>
      <c r="Y10" s="16">
        <v>0</v>
      </c>
      <c r="Z10" s="15">
        <f>B10+D10+F10+H10+J10+L10+N10+P10+R10+T10+V10+X10</f>
        <v>578000</v>
      </c>
      <c r="AA10" s="16">
        <f>C10+E10+G10+I10+K10+M10+O10+Q10+S10+U10+W10+Y10</f>
        <v>0</v>
      </c>
      <c r="AB10" s="9"/>
      <c r="AC10" s="9"/>
    </row>
    <row r="11" spans="1:29" ht="14.4" x14ac:dyDescent="0.3">
      <c r="A11" s="14" t="s">
        <v>0</v>
      </c>
      <c r="B11" s="15"/>
      <c r="C11" s="17"/>
      <c r="D11" s="15"/>
      <c r="E11" s="17"/>
      <c r="F11" s="15"/>
      <c r="G11" s="17"/>
      <c r="H11" s="15"/>
      <c r="I11" s="17"/>
      <c r="J11" s="15"/>
      <c r="K11" s="17"/>
      <c r="L11" s="15"/>
      <c r="M11" s="17"/>
      <c r="N11" s="15"/>
      <c r="O11" s="17"/>
      <c r="P11" s="15"/>
      <c r="Q11" s="17"/>
      <c r="R11" s="15"/>
      <c r="S11" s="17"/>
      <c r="T11" s="15"/>
      <c r="U11" s="17"/>
      <c r="V11" s="15"/>
      <c r="W11" s="17"/>
      <c r="X11" s="15"/>
      <c r="Y11" s="17"/>
      <c r="Z11" s="15">
        <f>B11+D11+F11+H11+J11+L11+N11+P11+R11+T11+V11+X11</f>
        <v>0</v>
      </c>
      <c r="AA11" s="16">
        <f>C11+E11+G11+I11+K11+M11+O11+Q11+S11+U11+W11+Y11</f>
        <v>0</v>
      </c>
      <c r="AB11" s="9"/>
      <c r="AC11" s="9"/>
    </row>
    <row r="12" spans="1:29" ht="14.25" customHeight="1" x14ac:dyDescent="0.3">
      <c r="A12" s="18" t="s">
        <v>236</v>
      </c>
      <c r="B12" s="18">
        <f t="shared" ref="B12:AA12" si="2">SUM(B13:B21)</f>
        <v>44486.651294117648</v>
      </c>
      <c r="C12" s="19">
        <f t="shared" si="2"/>
        <v>0</v>
      </c>
      <c r="D12" s="18">
        <f t="shared" si="2"/>
        <v>47245.180705882347</v>
      </c>
      <c r="E12" s="19">
        <f t="shared" si="2"/>
        <v>0</v>
      </c>
      <c r="F12" s="18">
        <f t="shared" si="2"/>
        <v>50003.710117647053</v>
      </c>
      <c r="G12" s="19">
        <f t="shared" si="2"/>
        <v>0</v>
      </c>
      <c r="H12" s="18">
        <f t="shared" si="2"/>
        <v>50003.710117647053</v>
      </c>
      <c r="I12" s="19">
        <f t="shared" si="2"/>
        <v>0</v>
      </c>
      <c r="J12" s="18">
        <f t="shared" si="2"/>
        <v>50003.710117647053</v>
      </c>
      <c r="K12" s="19">
        <f t="shared" si="2"/>
        <v>0</v>
      </c>
      <c r="L12" s="18">
        <f t="shared" si="2"/>
        <v>44486.651294117648</v>
      </c>
      <c r="M12" s="19">
        <f t="shared" si="2"/>
        <v>0</v>
      </c>
      <c r="N12" s="18">
        <f t="shared" si="2"/>
        <v>44486.651294117648</v>
      </c>
      <c r="O12" s="19">
        <f t="shared" si="2"/>
        <v>0</v>
      </c>
      <c r="P12" s="18">
        <f t="shared" si="2"/>
        <v>50003.710117647053</v>
      </c>
      <c r="Q12" s="19">
        <f t="shared" si="2"/>
        <v>0</v>
      </c>
      <c r="R12" s="18">
        <f t="shared" si="2"/>
        <v>50003.710117647053</v>
      </c>
      <c r="S12" s="19">
        <f t="shared" si="2"/>
        <v>0</v>
      </c>
      <c r="T12" s="18">
        <f t="shared" si="2"/>
        <v>50003.710117647053</v>
      </c>
      <c r="U12" s="19">
        <f t="shared" si="2"/>
        <v>0</v>
      </c>
      <c r="V12" s="18">
        <f t="shared" si="2"/>
        <v>50003.710117647053</v>
      </c>
      <c r="W12" s="19">
        <f t="shared" si="2"/>
        <v>0</v>
      </c>
      <c r="X12" s="18">
        <f t="shared" si="2"/>
        <v>66554.886588235298</v>
      </c>
      <c r="Y12" s="19">
        <f t="shared" si="2"/>
        <v>0</v>
      </c>
      <c r="Z12" s="18">
        <f t="shared" si="2"/>
        <v>597285.99199999997</v>
      </c>
      <c r="AA12" s="19">
        <f t="shared" si="2"/>
        <v>0</v>
      </c>
      <c r="AB12" s="9"/>
      <c r="AC12" s="9"/>
    </row>
    <row r="13" spans="1:29" ht="14.4" x14ac:dyDescent="0.3">
      <c r="A13" s="14" t="s">
        <v>237</v>
      </c>
      <c r="B13" s="489">
        <f>'DRE  PREVISTO'!C18</f>
        <v>16000</v>
      </c>
      <c r="C13" s="17">
        <v>0</v>
      </c>
      <c r="D13" s="212">
        <f>'DRE  PREVISTO'!E18</f>
        <v>18000</v>
      </c>
      <c r="E13" s="17">
        <v>0</v>
      </c>
      <c r="F13" s="212">
        <f>'DRE  PREVISTO'!G18</f>
        <v>20000</v>
      </c>
      <c r="G13" s="17">
        <v>0</v>
      </c>
      <c r="H13" s="212">
        <f>'DRE  PREVISTO'!I18</f>
        <v>20000</v>
      </c>
      <c r="I13" s="17">
        <v>0</v>
      </c>
      <c r="J13" s="212">
        <f>'DRE  PREVISTO'!K18</f>
        <v>20000</v>
      </c>
      <c r="K13" s="17">
        <v>0</v>
      </c>
      <c r="L13" s="212">
        <f>'DRE  PREVISTO'!M18</f>
        <v>16000</v>
      </c>
      <c r="M13" s="17">
        <v>0</v>
      </c>
      <c r="N13" s="212">
        <f>'DRE  PREVISTO'!O18</f>
        <v>16000</v>
      </c>
      <c r="O13" s="17">
        <v>0</v>
      </c>
      <c r="P13" s="212">
        <f>'DRE  PREVISTO'!Q18</f>
        <v>20000</v>
      </c>
      <c r="Q13" s="17">
        <v>0</v>
      </c>
      <c r="R13" s="212">
        <f>'DRE  PREVISTO'!S18</f>
        <v>20000</v>
      </c>
      <c r="S13" s="17">
        <v>0</v>
      </c>
      <c r="T13" s="212">
        <f>'DRE  PREVISTO'!U18</f>
        <v>20000</v>
      </c>
      <c r="U13" s="17">
        <v>0</v>
      </c>
      <c r="V13" s="212">
        <f>'DRE  PREVISTO'!W18</f>
        <v>20000</v>
      </c>
      <c r="W13" s="17">
        <v>0</v>
      </c>
      <c r="X13" s="212">
        <f>'DRE  PREVISTO'!Y18</f>
        <v>32000</v>
      </c>
      <c r="Y13" s="17">
        <v>0</v>
      </c>
      <c r="Z13" s="15">
        <f t="shared" ref="Z13:AA15" si="3">B13+D13+F13+H13+J13+L13+N13+P13+R13+T13+V13+X13</f>
        <v>238000</v>
      </c>
      <c r="AA13" s="16">
        <f t="shared" si="3"/>
        <v>0</v>
      </c>
      <c r="AB13" s="9"/>
      <c r="AC13" s="9"/>
    </row>
    <row r="14" spans="1:29" ht="14.4" x14ac:dyDescent="0.3">
      <c r="A14" s="21" t="s">
        <v>238</v>
      </c>
      <c r="B14" s="489">
        <f>'DRE  PREVISTO'!C21-'DRE  PREVISTO'!C22-'DRE  PREVISTO'!C23</f>
        <v>0</v>
      </c>
      <c r="C14" s="17">
        <v>0</v>
      </c>
      <c r="D14" s="212">
        <f>'DRE  PREVISTO'!E21-'DRE  PREVISTO'!E22-'DRE  PREVISTO'!E23</f>
        <v>0</v>
      </c>
      <c r="E14" s="17">
        <v>0</v>
      </c>
      <c r="F14" s="212">
        <f>'DRE  PREVISTO'!G21-'DRE  PREVISTO'!G22-'DRE  PREVISTO'!G23</f>
        <v>0</v>
      </c>
      <c r="G14" s="17">
        <v>0</v>
      </c>
      <c r="H14" s="212">
        <f>'DRE  PREVISTO'!I21-'DRE  PREVISTO'!I22-'DRE  PREVISTO'!I23</f>
        <v>0</v>
      </c>
      <c r="I14" s="17">
        <v>0</v>
      </c>
      <c r="J14" s="212">
        <f>'DRE  PREVISTO'!K21-'DRE  PREVISTO'!K22-'DRE  PREVISTO'!K23</f>
        <v>0</v>
      </c>
      <c r="K14" s="17">
        <v>0</v>
      </c>
      <c r="L14" s="212">
        <f>'DRE  PREVISTO'!M21-'DRE  PREVISTO'!M22-'DRE  PREVISTO'!M23</f>
        <v>0</v>
      </c>
      <c r="M14" s="17">
        <v>0</v>
      </c>
      <c r="N14" s="212">
        <f>'DRE  PREVISTO'!O21-'DRE  PREVISTO'!O22-'DRE  PREVISTO'!O23</f>
        <v>0</v>
      </c>
      <c r="O14" s="17">
        <v>0</v>
      </c>
      <c r="P14" s="212">
        <f>'DRE  PREVISTO'!Q21-'DRE  PREVISTO'!Q22-'DRE  PREVISTO'!Q23</f>
        <v>0</v>
      </c>
      <c r="Q14" s="17">
        <v>0</v>
      </c>
      <c r="R14" s="212">
        <f>'DRE  PREVISTO'!S21-'DRE  PREVISTO'!S22-'DRE  PREVISTO'!S23</f>
        <v>0</v>
      </c>
      <c r="S14" s="17">
        <v>0</v>
      </c>
      <c r="T14" s="212">
        <f>'DRE  PREVISTO'!U21-'DRE  PREVISTO'!U22-'DRE  PREVISTO'!U23</f>
        <v>0</v>
      </c>
      <c r="U14" s="17">
        <v>0</v>
      </c>
      <c r="V14" s="212">
        <f>'DRE  PREVISTO'!W21-'DRE  PREVISTO'!W22-'DRE  PREVISTO'!W23</f>
        <v>0</v>
      </c>
      <c r="W14" s="17">
        <v>0</v>
      </c>
      <c r="X14" s="212">
        <f>'DRE  PREVISTO'!Y21-'DRE  PREVISTO'!Y22-'DRE  PREVISTO'!Y23</f>
        <v>0</v>
      </c>
      <c r="Y14" s="17">
        <v>0</v>
      </c>
      <c r="Z14" s="15">
        <f t="shared" si="3"/>
        <v>0</v>
      </c>
      <c r="AA14" s="16">
        <f t="shared" si="3"/>
        <v>0</v>
      </c>
      <c r="AB14" s="9"/>
      <c r="AC14" s="9"/>
    </row>
    <row r="15" spans="1:29" ht="14.4" x14ac:dyDescent="0.3">
      <c r="A15" s="21" t="s">
        <v>239</v>
      </c>
      <c r="B15" s="489">
        <f>'DRE  PREVISTO'!C19+'DRE  PREVISTO'!C22+'DRE  PREVISTO'!C37+'DRE  PREVISTO'!C38+'DRE  PREVISTO'!C39+'DRE  PREVISTO'!C40</f>
        <v>14280</v>
      </c>
      <c r="C15" s="17">
        <v>0</v>
      </c>
      <c r="D15" s="212">
        <f>'DRE  PREVISTO'!E19+'DRE  PREVISTO'!E22+'DRE  PREVISTO'!E37+'DRE  PREVISTO'!E38+'DRE  PREVISTO'!E39+'DRE  PREVISTO'!E40</f>
        <v>14280</v>
      </c>
      <c r="E15" s="17">
        <v>0</v>
      </c>
      <c r="F15" s="212">
        <f>'DRE  PREVISTO'!G19+'DRE  PREVISTO'!G22+'DRE  PREVISTO'!G37+'DRE  PREVISTO'!G38+'DRE  PREVISTO'!G39+'DRE  PREVISTO'!G40</f>
        <v>14280</v>
      </c>
      <c r="G15" s="17">
        <v>0</v>
      </c>
      <c r="H15" s="212">
        <f>'DRE  PREVISTO'!I19+'DRE  PREVISTO'!I22+'DRE  PREVISTO'!I37+'DRE  PREVISTO'!I38+'DRE  PREVISTO'!I39+'DRE  PREVISTO'!I40</f>
        <v>14280</v>
      </c>
      <c r="I15" s="17">
        <v>0</v>
      </c>
      <c r="J15" s="212">
        <f>'DRE  PREVISTO'!K19+'DRE  PREVISTO'!K22+'DRE  PREVISTO'!K37+'DRE  PREVISTO'!K38+'DRE  PREVISTO'!K39+'DRE  PREVISTO'!K40</f>
        <v>14280</v>
      </c>
      <c r="K15" s="17">
        <v>0</v>
      </c>
      <c r="L15" s="212">
        <f>'DRE  PREVISTO'!M19+'DRE  PREVISTO'!M22+'DRE  PREVISTO'!M37+'DRE  PREVISTO'!M38+'DRE  PREVISTO'!M39+'DRE  PREVISTO'!M40</f>
        <v>14280</v>
      </c>
      <c r="M15" s="17">
        <v>0</v>
      </c>
      <c r="N15" s="212">
        <f>'DRE  PREVISTO'!O19+'DRE  PREVISTO'!O22+'DRE  PREVISTO'!O37+'DRE  PREVISTO'!O38+'DRE  PREVISTO'!O39+'DRE  PREVISTO'!O40</f>
        <v>14280</v>
      </c>
      <c r="O15" s="17">
        <v>0</v>
      </c>
      <c r="P15" s="212">
        <f>'DRE  PREVISTO'!Q19+'DRE  PREVISTO'!Q22+'DRE  PREVISTO'!Q37+'DRE  PREVISTO'!Q38+'DRE  PREVISTO'!Q39+'DRE  PREVISTO'!Q40</f>
        <v>14280</v>
      </c>
      <c r="Q15" s="17">
        <v>0</v>
      </c>
      <c r="R15" s="212">
        <f>'DRE  PREVISTO'!S19+'DRE  PREVISTO'!S22+'DRE  PREVISTO'!S37+'DRE  PREVISTO'!S38+'DRE  PREVISTO'!S39+'DRE  PREVISTO'!S40</f>
        <v>14280</v>
      </c>
      <c r="S15" s="17">
        <v>0</v>
      </c>
      <c r="T15" s="212">
        <f>'DRE  PREVISTO'!U19+'DRE  PREVISTO'!U22+'DRE  PREVISTO'!U37+'DRE  PREVISTO'!U38+'DRE  PREVISTO'!U39+'DRE  PREVISTO'!U40</f>
        <v>14280</v>
      </c>
      <c r="U15" s="17">
        <v>0</v>
      </c>
      <c r="V15" s="212">
        <f>'DRE  PREVISTO'!W19+'DRE  PREVISTO'!W22+'DRE  PREVISTO'!W37+'DRE  PREVISTO'!W38+'DRE  PREVISTO'!W39+'DRE  PREVISTO'!W40</f>
        <v>14280</v>
      </c>
      <c r="W15" s="17">
        <v>0</v>
      </c>
      <c r="X15" s="212">
        <f>'DRE  PREVISTO'!Y19+'DRE  PREVISTO'!Y22+'DRE  PREVISTO'!Y37+'DRE  PREVISTO'!Y38+'DRE  PREVISTO'!Y39+'DRE  PREVISTO'!Y40</f>
        <v>14280</v>
      </c>
      <c r="Y15" s="17">
        <v>0</v>
      </c>
      <c r="Z15" s="15">
        <f t="shared" si="3"/>
        <v>171360</v>
      </c>
      <c r="AA15" s="16">
        <f t="shared" si="3"/>
        <v>0</v>
      </c>
      <c r="AB15" s="9"/>
      <c r="AC15" s="9"/>
    </row>
    <row r="16" spans="1:29" ht="14.4" x14ac:dyDescent="0.3">
      <c r="A16" s="21" t="s">
        <v>240</v>
      </c>
      <c r="B16" s="489">
        <f>'DRE  PREVISTO'!C10</f>
        <v>2868.2352941176468</v>
      </c>
      <c r="C16" s="17">
        <v>0</v>
      </c>
      <c r="D16" s="212">
        <f>'DRE  PREVISTO'!E10</f>
        <v>3226.7647058823527</v>
      </c>
      <c r="E16" s="17">
        <v>0</v>
      </c>
      <c r="F16" s="212">
        <f>'DRE  PREVISTO'!G10</f>
        <v>3585.2941176470586</v>
      </c>
      <c r="G16" s="17">
        <v>0</v>
      </c>
      <c r="H16" s="212">
        <f>'DRE  PREVISTO'!I10</f>
        <v>3585.2941176470586</v>
      </c>
      <c r="I16" s="17">
        <v>0</v>
      </c>
      <c r="J16" s="212">
        <f>'DRE  PREVISTO'!K10</f>
        <v>3585.2941176470586</v>
      </c>
      <c r="K16" s="17">
        <v>0</v>
      </c>
      <c r="L16" s="212">
        <f>'DRE  PREVISTO'!M10</f>
        <v>2868.2352941176468</v>
      </c>
      <c r="M16" s="17">
        <v>0</v>
      </c>
      <c r="N16" s="212">
        <f>'DRE  PREVISTO'!O10</f>
        <v>2868.2352941176468</v>
      </c>
      <c r="O16" s="17">
        <v>0</v>
      </c>
      <c r="P16" s="212">
        <f>'DRE  PREVISTO'!Q10</f>
        <v>3585.2941176470586</v>
      </c>
      <c r="Q16" s="17">
        <v>0</v>
      </c>
      <c r="R16" s="212">
        <f>'DRE  PREVISTO'!S10</f>
        <v>3585.2941176470586</v>
      </c>
      <c r="S16" s="17">
        <v>0</v>
      </c>
      <c r="T16" s="212">
        <f>'DRE  PREVISTO'!U10</f>
        <v>3585.2941176470586</v>
      </c>
      <c r="U16" s="17">
        <v>0</v>
      </c>
      <c r="V16" s="212">
        <f>'DRE  PREVISTO'!W10</f>
        <v>3585.2941176470586</v>
      </c>
      <c r="W16" s="17">
        <v>0</v>
      </c>
      <c r="X16" s="212">
        <f>'DRE  PREVISTO'!Y10</f>
        <v>5736.4705882352937</v>
      </c>
      <c r="Y16" s="17">
        <v>0</v>
      </c>
      <c r="Z16" s="15">
        <f t="shared" ref="Z16:Z21" si="4">B16+D16+F16+H16+J16+L16+N16+P16+R16+T16+V16+X16</f>
        <v>42665</v>
      </c>
      <c r="AA16" s="16">
        <f t="shared" ref="AA16:AA21" si="5">C16+E16+G16+I16+K16+M16+O16+Q16+S16+U16+W16+Y16</f>
        <v>0</v>
      </c>
      <c r="AB16" s="9"/>
      <c r="AC16" s="9"/>
    </row>
    <row r="17" spans="1:29" ht="14.4" x14ac:dyDescent="0.3">
      <c r="A17" s="21" t="s">
        <v>241</v>
      </c>
      <c r="B17" s="489">
        <f>'DRE  PREVISTO'!C31</f>
        <v>3200</v>
      </c>
      <c r="C17" s="17">
        <v>0</v>
      </c>
      <c r="D17" s="212">
        <f>'DRE  PREVISTO'!E31</f>
        <v>3600</v>
      </c>
      <c r="E17" s="17">
        <v>0</v>
      </c>
      <c r="F17" s="212">
        <f>'DRE  PREVISTO'!G31</f>
        <v>4000</v>
      </c>
      <c r="G17" s="17">
        <v>0</v>
      </c>
      <c r="H17" s="212">
        <f>'DRE  PREVISTO'!I31</f>
        <v>4000</v>
      </c>
      <c r="I17" s="17">
        <v>0</v>
      </c>
      <c r="J17" s="212">
        <f>'DRE  PREVISTO'!K31</f>
        <v>4000</v>
      </c>
      <c r="K17" s="17">
        <v>0</v>
      </c>
      <c r="L17" s="212">
        <f>'DRE  PREVISTO'!M31</f>
        <v>3200</v>
      </c>
      <c r="M17" s="17">
        <v>0</v>
      </c>
      <c r="N17" s="212">
        <f>'DRE  PREVISTO'!O31</f>
        <v>3200</v>
      </c>
      <c r="O17" s="17">
        <v>0</v>
      </c>
      <c r="P17" s="212">
        <f>'DRE  PREVISTO'!Q31</f>
        <v>4000</v>
      </c>
      <c r="Q17" s="17">
        <v>0</v>
      </c>
      <c r="R17" s="212">
        <f>'DRE  PREVISTO'!S31</f>
        <v>4000</v>
      </c>
      <c r="S17" s="17">
        <v>0</v>
      </c>
      <c r="T17" s="212">
        <f>'DRE  PREVISTO'!U31</f>
        <v>4000</v>
      </c>
      <c r="U17" s="17">
        <v>0</v>
      </c>
      <c r="V17" s="212">
        <f>'DRE  PREVISTO'!W31</f>
        <v>4000</v>
      </c>
      <c r="W17" s="17">
        <v>0</v>
      </c>
      <c r="X17" s="212">
        <f>'DRE  PREVISTO'!Y31</f>
        <v>6400</v>
      </c>
      <c r="Y17" s="17">
        <v>0</v>
      </c>
      <c r="Z17" s="15">
        <f t="shared" si="4"/>
        <v>47600</v>
      </c>
      <c r="AA17" s="16">
        <f t="shared" si="5"/>
        <v>0</v>
      </c>
      <c r="AB17" s="9"/>
      <c r="AC17" s="9"/>
    </row>
    <row r="18" spans="1:29" ht="14.4" x14ac:dyDescent="0.3">
      <c r="A18" s="21" t="s">
        <v>242</v>
      </c>
      <c r="B18" s="490"/>
      <c r="C18" s="17">
        <v>0</v>
      </c>
      <c r="D18" s="20"/>
      <c r="E18" s="17">
        <v>0</v>
      </c>
      <c r="F18" s="20"/>
      <c r="G18" s="17">
        <v>0</v>
      </c>
      <c r="H18" s="20"/>
      <c r="I18" s="17">
        <v>0</v>
      </c>
      <c r="J18" s="20"/>
      <c r="K18" s="17">
        <v>0</v>
      </c>
      <c r="L18" s="20"/>
      <c r="M18" s="17">
        <v>0</v>
      </c>
      <c r="N18" s="20"/>
      <c r="O18" s="17">
        <v>0</v>
      </c>
      <c r="P18" s="20"/>
      <c r="Q18" s="17">
        <v>0</v>
      </c>
      <c r="R18" s="20"/>
      <c r="S18" s="17">
        <v>0</v>
      </c>
      <c r="T18" s="20"/>
      <c r="U18" s="17">
        <v>0</v>
      </c>
      <c r="V18" s="20"/>
      <c r="W18" s="17">
        <v>0</v>
      </c>
      <c r="X18" s="20"/>
      <c r="Y18" s="17">
        <v>0</v>
      </c>
      <c r="Z18" s="15">
        <f t="shared" si="4"/>
        <v>0</v>
      </c>
      <c r="AA18" s="16">
        <f t="shared" si="5"/>
        <v>0</v>
      </c>
      <c r="AB18" s="9"/>
      <c r="AC18" s="9"/>
    </row>
    <row r="19" spans="1:29" ht="14.4" x14ac:dyDescent="0.3">
      <c r="A19" s="21" t="s">
        <v>243</v>
      </c>
      <c r="B19" s="489">
        <f>'DRE  PREVISTO'!C20+'DRE  PREVISTO'!C23+'DRE  PREVISTO'!C42</f>
        <v>2688.4160000000002</v>
      </c>
      <c r="C19" s="17">
        <v>0</v>
      </c>
      <c r="D19" s="212">
        <f>'DRE  PREVISTO'!E20+'DRE  PREVISTO'!E23+'DRE  PREVISTO'!E42</f>
        <v>2688.4160000000002</v>
      </c>
      <c r="E19" s="17">
        <v>0</v>
      </c>
      <c r="F19" s="212">
        <f>'DRE  PREVISTO'!G20+'DRE  PREVISTO'!G23+'DRE  PREVISTO'!G42</f>
        <v>2688.4160000000002</v>
      </c>
      <c r="G19" s="17">
        <v>0</v>
      </c>
      <c r="H19" s="212">
        <f>'DRE  PREVISTO'!I20+'DRE  PREVISTO'!I23+'DRE  PREVISTO'!I42</f>
        <v>2688.4160000000002</v>
      </c>
      <c r="I19" s="17">
        <v>0</v>
      </c>
      <c r="J19" s="212">
        <f>'DRE  PREVISTO'!K20+'DRE  PREVISTO'!K23+'DRE  PREVISTO'!K42</f>
        <v>2688.4160000000002</v>
      </c>
      <c r="K19" s="17">
        <v>0</v>
      </c>
      <c r="L19" s="212">
        <f>'DRE  PREVISTO'!M20+'DRE  PREVISTO'!M23+'DRE  PREVISTO'!M42</f>
        <v>2688.4160000000002</v>
      </c>
      <c r="M19" s="17">
        <v>0</v>
      </c>
      <c r="N19" s="212">
        <f>'DRE  PREVISTO'!O20+'DRE  PREVISTO'!O23+'DRE  PREVISTO'!O42</f>
        <v>2688.4160000000002</v>
      </c>
      <c r="O19" s="17">
        <v>0</v>
      </c>
      <c r="P19" s="212">
        <f>'DRE  PREVISTO'!Q20+'DRE  PREVISTO'!Q23+'DRE  PREVISTO'!Q42</f>
        <v>2688.4160000000002</v>
      </c>
      <c r="Q19" s="17">
        <v>0</v>
      </c>
      <c r="R19" s="212">
        <f>'DRE  PREVISTO'!S20+'DRE  PREVISTO'!S23+'DRE  PREVISTO'!S42</f>
        <v>2688.4160000000002</v>
      </c>
      <c r="S19" s="17">
        <v>0</v>
      </c>
      <c r="T19" s="212">
        <f>'DRE  PREVISTO'!U20+'DRE  PREVISTO'!U23+'DRE  PREVISTO'!U42</f>
        <v>2688.4160000000002</v>
      </c>
      <c r="U19" s="17">
        <v>0</v>
      </c>
      <c r="V19" s="212">
        <f>'DRE  PREVISTO'!W20+'DRE  PREVISTO'!W23+'DRE  PREVISTO'!W42</f>
        <v>2688.4160000000002</v>
      </c>
      <c r="W19" s="17">
        <v>0</v>
      </c>
      <c r="X19" s="212">
        <f>'DRE  PREVISTO'!Y20+'DRE  PREVISTO'!Y23+'DRE  PREVISTO'!Y42</f>
        <v>2688.4160000000002</v>
      </c>
      <c r="Y19" s="17">
        <v>0</v>
      </c>
      <c r="Z19" s="15">
        <f t="shared" si="4"/>
        <v>32260.992000000009</v>
      </c>
      <c r="AA19" s="16">
        <f t="shared" si="5"/>
        <v>0</v>
      </c>
      <c r="AB19" s="9"/>
      <c r="AC19" s="9"/>
    </row>
    <row r="20" spans="1:29" ht="14.4" x14ac:dyDescent="0.3">
      <c r="A20" s="22" t="s">
        <v>244</v>
      </c>
      <c r="B20" s="490"/>
      <c r="C20" s="17">
        <v>0</v>
      </c>
      <c r="D20" s="20"/>
      <c r="E20" s="17">
        <v>0</v>
      </c>
      <c r="F20" s="20"/>
      <c r="G20" s="17">
        <v>0</v>
      </c>
      <c r="H20" s="20"/>
      <c r="I20" s="17">
        <v>0</v>
      </c>
      <c r="J20" s="20"/>
      <c r="K20" s="17">
        <v>0</v>
      </c>
      <c r="L20" s="20"/>
      <c r="M20" s="17">
        <v>0</v>
      </c>
      <c r="N20" s="20"/>
      <c r="O20" s="17">
        <v>0</v>
      </c>
      <c r="P20" s="20"/>
      <c r="Q20" s="17">
        <v>0</v>
      </c>
      <c r="R20" s="20"/>
      <c r="S20" s="17">
        <v>0</v>
      </c>
      <c r="T20" s="20"/>
      <c r="U20" s="17">
        <v>0</v>
      </c>
      <c r="V20" s="20"/>
      <c r="W20" s="17">
        <v>0</v>
      </c>
      <c r="X20" s="20"/>
      <c r="Y20" s="17">
        <v>0</v>
      </c>
      <c r="Z20" s="15"/>
      <c r="AA20" s="16"/>
      <c r="AB20" s="9"/>
      <c r="AC20" s="9"/>
    </row>
    <row r="21" spans="1:29" ht="14.4" x14ac:dyDescent="0.3">
      <c r="A21" s="22" t="s">
        <v>245</v>
      </c>
      <c r="B21" s="489">
        <f>'DRE  PREVISTO'!C36-'DRE  PREVISTO'!C37-'DRE  PREVISTO'!C38-'DRE  PREVISTO'!C39-'DRE  PREVISTO'!C40-'DRE  PREVISTO'!C42</f>
        <v>5450.0000000000009</v>
      </c>
      <c r="C21" s="17">
        <v>0</v>
      </c>
      <c r="D21" s="212">
        <f>'DRE  PREVISTO'!E36-'DRE  PREVISTO'!E37-'DRE  PREVISTO'!E38-'DRE  PREVISTO'!E39-'DRE  PREVISTO'!E40-'DRE  PREVISTO'!E42</f>
        <v>5450.0000000000009</v>
      </c>
      <c r="E21" s="17">
        <v>0</v>
      </c>
      <c r="F21" s="212">
        <f>'DRE  PREVISTO'!G36-'DRE  PREVISTO'!G37-'DRE  PREVISTO'!G38-'DRE  PREVISTO'!G39-'DRE  PREVISTO'!G40-'DRE  PREVISTO'!G42</f>
        <v>5450.0000000000009</v>
      </c>
      <c r="G21" s="17">
        <v>0</v>
      </c>
      <c r="H21" s="212">
        <f>'DRE  PREVISTO'!I36-'DRE  PREVISTO'!I37-'DRE  PREVISTO'!I38-'DRE  PREVISTO'!I39-'DRE  PREVISTO'!I40-'DRE  PREVISTO'!I42</f>
        <v>5450.0000000000009</v>
      </c>
      <c r="I21" s="17">
        <v>0</v>
      </c>
      <c r="J21" s="212">
        <f>'DRE  PREVISTO'!K36-'DRE  PREVISTO'!K37-'DRE  PREVISTO'!K38-'DRE  PREVISTO'!K39-'DRE  PREVISTO'!K40-'DRE  PREVISTO'!K42</f>
        <v>5450.0000000000009</v>
      </c>
      <c r="K21" s="17">
        <v>0</v>
      </c>
      <c r="L21" s="212">
        <f>'DRE  PREVISTO'!M36-'DRE  PREVISTO'!M37-'DRE  PREVISTO'!M38-'DRE  PREVISTO'!M39-'DRE  PREVISTO'!M40-'DRE  PREVISTO'!M42</f>
        <v>5450.0000000000009</v>
      </c>
      <c r="M21" s="17">
        <v>0</v>
      </c>
      <c r="N21" s="212">
        <f>'DRE  PREVISTO'!O36-'DRE  PREVISTO'!O37-'DRE  PREVISTO'!O38-'DRE  PREVISTO'!O39-'DRE  PREVISTO'!O40-'DRE  PREVISTO'!O42</f>
        <v>5450.0000000000009</v>
      </c>
      <c r="O21" s="17">
        <v>0</v>
      </c>
      <c r="P21" s="212">
        <f>'DRE  PREVISTO'!Q36-'DRE  PREVISTO'!Q37-'DRE  PREVISTO'!Q38-'DRE  PREVISTO'!Q39-'DRE  PREVISTO'!Q40-'DRE  PREVISTO'!Q42</f>
        <v>5450.0000000000009</v>
      </c>
      <c r="Q21" s="17">
        <v>0</v>
      </c>
      <c r="R21" s="212">
        <f>'DRE  PREVISTO'!S36-'DRE  PREVISTO'!S37-'DRE  PREVISTO'!S38-'DRE  PREVISTO'!S39-'DRE  PREVISTO'!S40-'DRE  PREVISTO'!S42</f>
        <v>5450.0000000000009</v>
      </c>
      <c r="S21" s="17">
        <v>0</v>
      </c>
      <c r="T21" s="212">
        <f>'DRE  PREVISTO'!U36-'DRE  PREVISTO'!U37-'DRE  PREVISTO'!U38-'DRE  PREVISTO'!U39-'DRE  PREVISTO'!U40-'DRE  PREVISTO'!U42</f>
        <v>5450.0000000000009</v>
      </c>
      <c r="U21" s="17">
        <v>0</v>
      </c>
      <c r="V21" s="212">
        <f>'DRE  PREVISTO'!W36-'DRE  PREVISTO'!W37-'DRE  PREVISTO'!W38-'DRE  PREVISTO'!W39-'DRE  PREVISTO'!W40-'DRE  PREVISTO'!W42</f>
        <v>5450.0000000000009</v>
      </c>
      <c r="W21" s="17">
        <v>0</v>
      </c>
      <c r="X21" s="212">
        <f>'DRE  PREVISTO'!Y36-'DRE  PREVISTO'!Y37-'DRE  PREVISTO'!Y38-'DRE  PREVISTO'!Y39-'DRE  PREVISTO'!Y40-'DRE  PREVISTO'!Y42</f>
        <v>5450.0000000000009</v>
      </c>
      <c r="Y21" s="17">
        <v>0</v>
      </c>
      <c r="Z21" s="15">
        <f t="shared" si="4"/>
        <v>65400.000000000007</v>
      </c>
      <c r="AA21" s="16">
        <f t="shared" si="5"/>
        <v>0</v>
      </c>
      <c r="AB21" s="9"/>
      <c r="AC21" s="9"/>
    </row>
    <row r="22" spans="1:29" ht="15.75" customHeight="1" x14ac:dyDescent="0.3">
      <c r="A22" s="6" t="s">
        <v>246</v>
      </c>
      <c r="B22" s="6">
        <f t="shared" ref="B22:AA22" si="6">B9-B12</f>
        <v>3513.3487058823521</v>
      </c>
      <c r="C22" s="13">
        <f t="shared" si="6"/>
        <v>0</v>
      </c>
      <c r="D22" s="6">
        <f t="shared" si="6"/>
        <v>254.81929411765304</v>
      </c>
      <c r="E22" s="13">
        <f t="shared" si="6"/>
        <v>0</v>
      </c>
      <c r="F22" s="6">
        <f t="shared" si="6"/>
        <v>-5003.7101176470533</v>
      </c>
      <c r="G22" s="13">
        <f t="shared" si="6"/>
        <v>0</v>
      </c>
      <c r="H22" s="6">
        <f t="shared" si="6"/>
        <v>-1503.7101176470533</v>
      </c>
      <c r="I22" s="13">
        <f t="shared" si="6"/>
        <v>0</v>
      </c>
      <c r="J22" s="6">
        <f t="shared" si="6"/>
        <v>-3.7101176470532664</v>
      </c>
      <c r="K22" s="13">
        <f t="shared" si="6"/>
        <v>0</v>
      </c>
      <c r="L22" s="6">
        <f t="shared" si="6"/>
        <v>2513.3487058823521</v>
      </c>
      <c r="M22" s="13">
        <f t="shared" si="6"/>
        <v>0</v>
      </c>
      <c r="N22" s="6">
        <f t="shared" si="6"/>
        <v>-1486.6512941176479</v>
      </c>
      <c r="O22" s="13">
        <f t="shared" si="6"/>
        <v>0</v>
      </c>
      <c r="P22" s="6">
        <f t="shared" si="6"/>
        <v>-7003.7101176470533</v>
      </c>
      <c r="Q22" s="13">
        <f t="shared" si="6"/>
        <v>0</v>
      </c>
      <c r="R22" s="6">
        <f t="shared" si="6"/>
        <v>-3003.7101176470533</v>
      </c>
      <c r="S22" s="13">
        <f t="shared" si="6"/>
        <v>0</v>
      </c>
      <c r="T22" s="6">
        <f t="shared" si="6"/>
        <v>-3.7101176470532664</v>
      </c>
      <c r="U22" s="13">
        <f t="shared" si="6"/>
        <v>0</v>
      </c>
      <c r="V22" s="6">
        <f t="shared" si="6"/>
        <v>-3.7101176470532664</v>
      </c>
      <c r="W22" s="13">
        <f t="shared" si="6"/>
        <v>0</v>
      </c>
      <c r="X22" s="6">
        <f t="shared" si="6"/>
        <v>-7554.8865882352984</v>
      </c>
      <c r="Y22" s="13">
        <f t="shared" si="6"/>
        <v>0</v>
      </c>
      <c r="Z22" s="6">
        <f t="shared" si="6"/>
        <v>-19285.991999999969</v>
      </c>
      <c r="AA22" s="13">
        <f t="shared" si="6"/>
        <v>0</v>
      </c>
      <c r="AB22" s="9"/>
      <c r="AC22" s="9"/>
    </row>
    <row r="23" spans="1:29" ht="15.75" customHeight="1" x14ac:dyDescent="0.3">
      <c r="A23" s="18" t="s">
        <v>247</v>
      </c>
      <c r="B23" s="18">
        <f>SUM(B24:B29)</f>
        <v>0</v>
      </c>
      <c r="C23" s="18">
        <f t="shared" ref="C23:AA23" si="7">SUM(C24:C29)</f>
        <v>0</v>
      </c>
      <c r="D23" s="18">
        <f t="shared" si="7"/>
        <v>0</v>
      </c>
      <c r="E23" s="18">
        <f t="shared" si="7"/>
        <v>0</v>
      </c>
      <c r="F23" s="18">
        <f t="shared" si="7"/>
        <v>0</v>
      </c>
      <c r="G23" s="18">
        <f t="shared" si="7"/>
        <v>0</v>
      </c>
      <c r="H23" s="18">
        <f t="shared" si="7"/>
        <v>0</v>
      </c>
      <c r="I23" s="18">
        <f t="shared" si="7"/>
        <v>0</v>
      </c>
      <c r="J23" s="18">
        <f t="shared" si="7"/>
        <v>0</v>
      </c>
      <c r="K23" s="18">
        <f t="shared" si="7"/>
        <v>0</v>
      </c>
      <c r="L23" s="18">
        <f t="shared" si="7"/>
        <v>0</v>
      </c>
      <c r="M23" s="18">
        <f t="shared" si="7"/>
        <v>0</v>
      </c>
      <c r="N23" s="18">
        <f t="shared" si="7"/>
        <v>0</v>
      </c>
      <c r="O23" s="18">
        <f t="shared" si="7"/>
        <v>0</v>
      </c>
      <c r="P23" s="18">
        <f t="shared" si="7"/>
        <v>0</v>
      </c>
      <c r="Q23" s="18">
        <f t="shared" si="7"/>
        <v>0</v>
      </c>
      <c r="R23" s="18">
        <f t="shared" si="7"/>
        <v>0</v>
      </c>
      <c r="S23" s="18">
        <f t="shared" si="7"/>
        <v>0</v>
      </c>
      <c r="T23" s="18">
        <f t="shared" si="7"/>
        <v>0</v>
      </c>
      <c r="U23" s="18">
        <f t="shared" si="7"/>
        <v>0</v>
      </c>
      <c r="V23" s="18">
        <f t="shared" si="7"/>
        <v>0</v>
      </c>
      <c r="W23" s="18">
        <f t="shared" si="7"/>
        <v>0</v>
      </c>
      <c r="X23" s="18">
        <f t="shared" si="7"/>
        <v>0</v>
      </c>
      <c r="Y23" s="18">
        <f t="shared" si="7"/>
        <v>0</v>
      </c>
      <c r="Z23" s="18">
        <f t="shared" si="7"/>
        <v>0</v>
      </c>
      <c r="AA23" s="18">
        <f t="shared" si="7"/>
        <v>0</v>
      </c>
      <c r="AB23" s="9"/>
      <c r="AC23" s="9"/>
    </row>
    <row r="24" spans="1:29" ht="15.75" customHeight="1" x14ac:dyDescent="0.3">
      <c r="A24" s="512" t="s">
        <v>248</v>
      </c>
      <c r="B24" s="20"/>
      <c r="C24" s="17">
        <v>0</v>
      </c>
      <c r="D24" s="20"/>
      <c r="E24" s="17">
        <v>0</v>
      </c>
      <c r="F24" s="20"/>
      <c r="G24" s="17">
        <v>0</v>
      </c>
      <c r="H24" s="20"/>
      <c r="I24" s="17">
        <v>0</v>
      </c>
      <c r="J24" s="20"/>
      <c r="K24" s="17">
        <v>0</v>
      </c>
      <c r="L24" s="20"/>
      <c r="M24" s="17">
        <v>0</v>
      </c>
      <c r="N24" s="20"/>
      <c r="O24" s="17">
        <v>0</v>
      </c>
      <c r="P24" s="20"/>
      <c r="Q24" s="17">
        <v>0</v>
      </c>
      <c r="R24" s="20"/>
      <c r="S24" s="17">
        <v>0</v>
      </c>
      <c r="T24" s="20"/>
      <c r="U24" s="17">
        <v>0</v>
      </c>
      <c r="V24" s="20"/>
      <c r="W24" s="17">
        <v>0</v>
      </c>
      <c r="X24" s="20"/>
      <c r="Y24" s="17">
        <v>0</v>
      </c>
      <c r="Z24" s="15">
        <f t="shared" ref="Z24:AA29" si="8">B24+D24+F24+H24+J24+L24+N24+P24+R24+T24+V24+X24</f>
        <v>0</v>
      </c>
      <c r="AA24" s="16">
        <f t="shared" si="8"/>
        <v>0</v>
      </c>
      <c r="AB24" s="9"/>
      <c r="AC24" s="9"/>
    </row>
    <row r="25" spans="1:29" ht="15.75" customHeight="1" x14ac:dyDescent="0.3">
      <c r="A25" s="512" t="s">
        <v>249</v>
      </c>
      <c r="B25" s="20"/>
      <c r="C25" s="17">
        <v>0</v>
      </c>
      <c r="D25" s="20"/>
      <c r="E25" s="17">
        <v>0</v>
      </c>
      <c r="F25" s="20"/>
      <c r="G25" s="17">
        <v>0</v>
      </c>
      <c r="H25" s="20"/>
      <c r="I25" s="17">
        <v>0</v>
      </c>
      <c r="J25" s="20"/>
      <c r="K25" s="17">
        <v>0</v>
      </c>
      <c r="L25" s="20"/>
      <c r="M25" s="17">
        <v>0</v>
      </c>
      <c r="N25" s="20"/>
      <c r="O25" s="17">
        <v>0</v>
      </c>
      <c r="P25" s="20"/>
      <c r="Q25" s="17">
        <v>0</v>
      </c>
      <c r="R25" s="20"/>
      <c r="S25" s="17">
        <v>0</v>
      </c>
      <c r="T25" s="20"/>
      <c r="U25" s="17">
        <v>0</v>
      </c>
      <c r="V25" s="20"/>
      <c r="W25" s="17">
        <v>0</v>
      </c>
      <c r="X25" s="20"/>
      <c r="Y25" s="17">
        <v>0</v>
      </c>
      <c r="Z25" s="15">
        <f t="shared" si="8"/>
        <v>0</v>
      </c>
      <c r="AA25" s="16">
        <f t="shared" si="8"/>
        <v>0</v>
      </c>
      <c r="AB25" s="9"/>
      <c r="AC25" s="9"/>
    </row>
    <row r="26" spans="1:29" ht="15.75" customHeight="1" x14ac:dyDescent="0.3">
      <c r="A26" s="512" t="s">
        <v>250</v>
      </c>
      <c r="B26" s="20"/>
      <c r="C26" s="17">
        <v>0</v>
      </c>
      <c r="D26" s="20"/>
      <c r="E26" s="17">
        <v>0</v>
      </c>
      <c r="F26" s="20"/>
      <c r="G26" s="17">
        <v>0</v>
      </c>
      <c r="H26" s="20"/>
      <c r="I26" s="17">
        <v>0</v>
      </c>
      <c r="J26" s="20"/>
      <c r="K26" s="17">
        <v>0</v>
      </c>
      <c r="L26" s="20"/>
      <c r="M26" s="17">
        <v>0</v>
      </c>
      <c r="N26" s="20"/>
      <c r="O26" s="17">
        <v>0</v>
      </c>
      <c r="P26" s="20"/>
      <c r="Q26" s="17">
        <v>0</v>
      </c>
      <c r="R26" s="20"/>
      <c r="S26" s="17">
        <v>0</v>
      </c>
      <c r="T26" s="20"/>
      <c r="U26" s="17">
        <v>0</v>
      </c>
      <c r="V26" s="20"/>
      <c r="W26" s="17">
        <v>0</v>
      </c>
      <c r="X26" s="20"/>
      <c r="Y26" s="17">
        <v>0</v>
      </c>
      <c r="Z26" s="15">
        <f t="shared" si="8"/>
        <v>0</v>
      </c>
      <c r="AA26" s="16">
        <f t="shared" si="8"/>
        <v>0</v>
      </c>
      <c r="AB26" s="9"/>
      <c r="AC26" s="9"/>
    </row>
    <row r="27" spans="1:29" ht="15.75" customHeight="1" x14ac:dyDescent="0.3">
      <c r="A27" s="21" t="s">
        <v>251</v>
      </c>
      <c r="B27" s="20"/>
      <c r="C27" s="17">
        <v>0</v>
      </c>
      <c r="D27" s="20"/>
      <c r="E27" s="17">
        <v>0</v>
      </c>
      <c r="F27" s="20"/>
      <c r="G27" s="17">
        <v>0</v>
      </c>
      <c r="H27" s="20"/>
      <c r="I27" s="17">
        <v>0</v>
      </c>
      <c r="J27" s="20"/>
      <c r="K27" s="17">
        <v>0</v>
      </c>
      <c r="L27" s="20"/>
      <c r="M27" s="17">
        <v>0</v>
      </c>
      <c r="N27" s="20"/>
      <c r="O27" s="17">
        <v>0</v>
      </c>
      <c r="P27" s="20"/>
      <c r="Q27" s="17">
        <v>0</v>
      </c>
      <c r="R27" s="20"/>
      <c r="S27" s="17">
        <v>0</v>
      </c>
      <c r="T27" s="20"/>
      <c r="U27" s="17">
        <v>0</v>
      </c>
      <c r="V27" s="20"/>
      <c r="W27" s="17">
        <v>0</v>
      </c>
      <c r="X27" s="20"/>
      <c r="Y27" s="17">
        <v>0</v>
      </c>
      <c r="Z27" s="15">
        <f t="shared" si="8"/>
        <v>0</v>
      </c>
      <c r="AA27" s="16">
        <f t="shared" si="8"/>
        <v>0</v>
      </c>
      <c r="AB27" s="9"/>
      <c r="AC27" s="9"/>
    </row>
    <row r="28" spans="1:29" ht="15.75" customHeight="1" x14ac:dyDescent="0.3">
      <c r="A28" s="21" t="s">
        <v>252</v>
      </c>
      <c r="B28" s="20"/>
      <c r="C28" s="17">
        <v>0</v>
      </c>
      <c r="D28" s="20"/>
      <c r="E28" s="17">
        <v>0</v>
      </c>
      <c r="F28" s="20"/>
      <c r="G28" s="17">
        <v>0</v>
      </c>
      <c r="H28" s="20"/>
      <c r="I28" s="17">
        <v>0</v>
      </c>
      <c r="J28" s="20"/>
      <c r="K28" s="17">
        <v>0</v>
      </c>
      <c r="L28" s="20"/>
      <c r="M28" s="17">
        <v>0</v>
      </c>
      <c r="N28" s="20"/>
      <c r="O28" s="17">
        <v>0</v>
      </c>
      <c r="P28" s="20"/>
      <c r="Q28" s="17">
        <v>0</v>
      </c>
      <c r="R28" s="20"/>
      <c r="S28" s="17">
        <v>0</v>
      </c>
      <c r="T28" s="20"/>
      <c r="U28" s="17">
        <v>0</v>
      </c>
      <c r="V28" s="20"/>
      <c r="W28" s="17">
        <v>0</v>
      </c>
      <c r="X28" s="20"/>
      <c r="Y28" s="17">
        <v>0</v>
      </c>
      <c r="Z28" s="15">
        <f t="shared" si="8"/>
        <v>0</v>
      </c>
      <c r="AA28" s="16">
        <f t="shared" si="8"/>
        <v>0</v>
      </c>
      <c r="AB28" s="9"/>
      <c r="AC28" s="9"/>
    </row>
    <row r="29" spans="1:29" ht="15.75" customHeight="1" x14ac:dyDescent="0.3">
      <c r="A29" s="21" t="s">
        <v>253</v>
      </c>
      <c r="B29" s="20"/>
      <c r="C29" s="17">
        <v>0</v>
      </c>
      <c r="D29" s="20"/>
      <c r="E29" s="17">
        <v>0</v>
      </c>
      <c r="F29" s="20"/>
      <c r="G29" s="17">
        <v>0</v>
      </c>
      <c r="H29" s="20"/>
      <c r="I29" s="17">
        <v>0</v>
      </c>
      <c r="J29" s="20"/>
      <c r="K29" s="17">
        <v>0</v>
      </c>
      <c r="L29" s="20"/>
      <c r="M29" s="17">
        <v>0</v>
      </c>
      <c r="N29" s="20"/>
      <c r="O29" s="17">
        <v>0</v>
      </c>
      <c r="P29" s="20"/>
      <c r="Q29" s="17">
        <v>0</v>
      </c>
      <c r="R29" s="20"/>
      <c r="S29" s="17">
        <v>0</v>
      </c>
      <c r="T29" s="20"/>
      <c r="U29" s="17">
        <v>0</v>
      </c>
      <c r="V29" s="20"/>
      <c r="W29" s="17">
        <v>0</v>
      </c>
      <c r="X29" s="20"/>
      <c r="Y29" s="17">
        <v>0</v>
      </c>
      <c r="Z29" s="15">
        <f t="shared" si="8"/>
        <v>0</v>
      </c>
      <c r="AA29" s="16">
        <f t="shared" si="8"/>
        <v>0</v>
      </c>
      <c r="AB29" s="9"/>
      <c r="AC29" s="9"/>
    </row>
    <row r="30" spans="1:29" ht="15.75" customHeight="1" x14ac:dyDescent="0.3">
      <c r="A30" s="6" t="s">
        <v>254</v>
      </c>
      <c r="B30" s="6">
        <f t="shared" ref="B30:AA30" si="9">B23</f>
        <v>0</v>
      </c>
      <c r="C30" s="13">
        <f t="shared" si="9"/>
        <v>0</v>
      </c>
      <c r="D30" s="6">
        <f t="shared" si="9"/>
        <v>0</v>
      </c>
      <c r="E30" s="13">
        <f t="shared" si="9"/>
        <v>0</v>
      </c>
      <c r="F30" s="6">
        <f t="shared" si="9"/>
        <v>0</v>
      </c>
      <c r="G30" s="13">
        <f t="shared" si="9"/>
        <v>0</v>
      </c>
      <c r="H30" s="6">
        <f t="shared" si="9"/>
        <v>0</v>
      </c>
      <c r="I30" s="13">
        <f t="shared" si="9"/>
        <v>0</v>
      </c>
      <c r="J30" s="6">
        <f t="shared" si="9"/>
        <v>0</v>
      </c>
      <c r="K30" s="13">
        <f t="shared" si="9"/>
        <v>0</v>
      </c>
      <c r="L30" s="6">
        <f t="shared" si="9"/>
        <v>0</v>
      </c>
      <c r="M30" s="13">
        <f t="shared" si="9"/>
        <v>0</v>
      </c>
      <c r="N30" s="6">
        <f t="shared" si="9"/>
        <v>0</v>
      </c>
      <c r="O30" s="13">
        <f t="shared" si="9"/>
        <v>0</v>
      </c>
      <c r="P30" s="6">
        <f t="shared" si="9"/>
        <v>0</v>
      </c>
      <c r="Q30" s="13">
        <f t="shared" si="9"/>
        <v>0</v>
      </c>
      <c r="R30" s="6">
        <f t="shared" si="9"/>
        <v>0</v>
      </c>
      <c r="S30" s="13">
        <f t="shared" si="9"/>
        <v>0</v>
      </c>
      <c r="T30" s="6">
        <f t="shared" si="9"/>
        <v>0</v>
      </c>
      <c r="U30" s="13">
        <f t="shared" si="9"/>
        <v>0</v>
      </c>
      <c r="V30" s="6">
        <f t="shared" si="9"/>
        <v>0</v>
      </c>
      <c r="W30" s="13">
        <f t="shared" si="9"/>
        <v>0</v>
      </c>
      <c r="X30" s="6">
        <f t="shared" si="9"/>
        <v>0</v>
      </c>
      <c r="Y30" s="13">
        <f t="shared" si="9"/>
        <v>0</v>
      </c>
      <c r="Z30" s="6">
        <f t="shared" si="9"/>
        <v>0</v>
      </c>
      <c r="AA30" s="13">
        <f t="shared" si="9"/>
        <v>0</v>
      </c>
      <c r="AB30" s="9"/>
      <c r="AC30" s="9"/>
    </row>
    <row r="31" spans="1:29" ht="15.75" customHeight="1" x14ac:dyDescent="0.3">
      <c r="A31" s="18" t="s">
        <v>255</v>
      </c>
      <c r="B31" s="18">
        <f>SUM(B32:B38)</f>
        <v>0</v>
      </c>
      <c r="C31" s="18">
        <f>SUM(C32:C38)</f>
        <v>0</v>
      </c>
      <c r="D31" s="18">
        <f t="shared" ref="D31:AA31" si="10">SUM(D32:D38)</f>
        <v>0</v>
      </c>
      <c r="E31" s="18">
        <f t="shared" si="10"/>
        <v>0</v>
      </c>
      <c r="F31" s="18">
        <f t="shared" si="10"/>
        <v>0</v>
      </c>
      <c r="G31" s="18">
        <f t="shared" si="10"/>
        <v>0</v>
      </c>
      <c r="H31" s="18">
        <f t="shared" si="10"/>
        <v>0</v>
      </c>
      <c r="I31" s="18">
        <f t="shared" si="10"/>
        <v>0</v>
      </c>
      <c r="J31" s="18">
        <f t="shared" si="10"/>
        <v>0</v>
      </c>
      <c r="K31" s="18">
        <f t="shared" si="10"/>
        <v>0</v>
      </c>
      <c r="L31" s="18">
        <f t="shared" si="10"/>
        <v>0</v>
      </c>
      <c r="M31" s="18">
        <f t="shared" si="10"/>
        <v>0</v>
      </c>
      <c r="N31" s="18">
        <f t="shared" si="10"/>
        <v>0</v>
      </c>
      <c r="O31" s="18">
        <f t="shared" si="10"/>
        <v>0</v>
      </c>
      <c r="P31" s="18">
        <f t="shared" si="10"/>
        <v>0</v>
      </c>
      <c r="Q31" s="18">
        <f t="shared" si="10"/>
        <v>0</v>
      </c>
      <c r="R31" s="18">
        <f t="shared" si="10"/>
        <v>0</v>
      </c>
      <c r="S31" s="18">
        <f t="shared" si="10"/>
        <v>0</v>
      </c>
      <c r="T31" s="18">
        <f t="shared" si="10"/>
        <v>0</v>
      </c>
      <c r="U31" s="18">
        <f t="shared" si="10"/>
        <v>0</v>
      </c>
      <c r="V31" s="18">
        <f t="shared" si="10"/>
        <v>0</v>
      </c>
      <c r="W31" s="18">
        <f t="shared" si="10"/>
        <v>0</v>
      </c>
      <c r="X31" s="18">
        <f t="shared" si="10"/>
        <v>0</v>
      </c>
      <c r="Y31" s="18">
        <f t="shared" si="10"/>
        <v>0</v>
      </c>
      <c r="Z31" s="18">
        <f t="shared" si="10"/>
        <v>0</v>
      </c>
      <c r="AA31" s="18">
        <f t="shared" si="10"/>
        <v>0</v>
      </c>
      <c r="AB31" s="9"/>
      <c r="AC31" s="9" t="s">
        <v>0</v>
      </c>
    </row>
    <row r="32" spans="1:29" ht="15.75" customHeight="1" x14ac:dyDescent="0.3">
      <c r="A32" s="21" t="s">
        <v>256</v>
      </c>
      <c r="B32" s="20"/>
      <c r="C32" s="17">
        <v>0</v>
      </c>
      <c r="D32" s="20"/>
      <c r="E32" s="17">
        <v>0</v>
      </c>
      <c r="F32" s="20"/>
      <c r="G32" s="17">
        <v>0</v>
      </c>
      <c r="H32" s="20"/>
      <c r="I32" s="17">
        <v>0</v>
      </c>
      <c r="J32" s="20"/>
      <c r="K32" s="17">
        <v>0</v>
      </c>
      <c r="L32" s="20"/>
      <c r="M32" s="17">
        <v>0</v>
      </c>
      <c r="N32" s="20"/>
      <c r="O32" s="17">
        <v>0</v>
      </c>
      <c r="P32" s="20"/>
      <c r="Q32" s="17">
        <v>0</v>
      </c>
      <c r="R32" s="20"/>
      <c r="S32" s="17">
        <v>0</v>
      </c>
      <c r="T32" s="20"/>
      <c r="U32" s="17">
        <v>0</v>
      </c>
      <c r="V32" s="20"/>
      <c r="W32" s="17">
        <v>0</v>
      </c>
      <c r="X32" s="20"/>
      <c r="Y32" s="17">
        <v>0</v>
      </c>
      <c r="Z32" s="15">
        <f t="shared" ref="Z32:AA38" si="11">B32+D32+F32+H32+J32+L32+N32+P32+R32+T32+V32+X32</f>
        <v>0</v>
      </c>
      <c r="AA32" s="16">
        <f t="shared" si="11"/>
        <v>0</v>
      </c>
      <c r="AB32" s="9"/>
      <c r="AC32" s="9"/>
    </row>
    <row r="33" spans="1:29" ht="15.75" customHeight="1" x14ac:dyDescent="0.3">
      <c r="A33" s="21" t="s">
        <v>257</v>
      </c>
      <c r="B33" s="212">
        <f>'DRE  PREVISTO'!C63</f>
        <v>0</v>
      </c>
      <c r="C33" s="17">
        <v>0</v>
      </c>
      <c r="D33" s="20">
        <f>'DRE  PREVISTO'!E63</f>
        <v>0</v>
      </c>
      <c r="E33" s="17">
        <v>0</v>
      </c>
      <c r="F33" s="20">
        <f>'DRE  PREVISTO'!G63</f>
        <v>0</v>
      </c>
      <c r="G33" s="17">
        <v>0</v>
      </c>
      <c r="H33" s="20">
        <f>'DRE  PREVISTO'!I63</f>
        <v>0</v>
      </c>
      <c r="I33" s="17">
        <v>0</v>
      </c>
      <c r="J33" s="20">
        <f>'DRE  PREVISTO'!K63</f>
        <v>0</v>
      </c>
      <c r="K33" s="17">
        <v>0</v>
      </c>
      <c r="L33" s="20">
        <f>'DRE  PREVISTO'!M63</f>
        <v>0</v>
      </c>
      <c r="M33" s="17">
        <v>0</v>
      </c>
      <c r="N33" s="20">
        <f>'DRE  PREVISTO'!O63</f>
        <v>0</v>
      </c>
      <c r="O33" s="17">
        <v>0</v>
      </c>
      <c r="P33" s="20">
        <f>'DRE  PREVISTO'!Q63</f>
        <v>0</v>
      </c>
      <c r="Q33" s="17">
        <v>0</v>
      </c>
      <c r="R33" s="20">
        <f>'DRE  PREVISTO'!S63</f>
        <v>0</v>
      </c>
      <c r="S33" s="17">
        <v>0</v>
      </c>
      <c r="T33" s="20">
        <f>'DRE  PREVISTO'!U63</f>
        <v>0</v>
      </c>
      <c r="U33" s="17">
        <v>0</v>
      </c>
      <c r="V33" s="20">
        <f>'DRE  PREVISTO'!W63</f>
        <v>0</v>
      </c>
      <c r="W33" s="17">
        <v>0</v>
      </c>
      <c r="X33" s="20">
        <f>'DRE  PREVISTO'!Y63</f>
        <v>0</v>
      </c>
      <c r="Y33" s="17">
        <v>0</v>
      </c>
      <c r="Z33" s="15">
        <f t="shared" si="11"/>
        <v>0</v>
      </c>
      <c r="AA33" s="16">
        <f t="shared" si="11"/>
        <v>0</v>
      </c>
      <c r="AB33" s="9"/>
      <c r="AC33" s="9"/>
    </row>
    <row r="34" spans="1:29" ht="15.75" customHeight="1" x14ac:dyDescent="0.3">
      <c r="A34" s="21" t="s">
        <v>258</v>
      </c>
      <c r="B34" s="20"/>
      <c r="C34" s="17">
        <v>0</v>
      </c>
      <c r="D34" s="20"/>
      <c r="E34" s="17">
        <v>0</v>
      </c>
      <c r="F34" s="20"/>
      <c r="G34" s="17">
        <v>0</v>
      </c>
      <c r="H34" s="20"/>
      <c r="I34" s="17">
        <v>0</v>
      </c>
      <c r="J34" s="20"/>
      <c r="K34" s="17">
        <v>0</v>
      </c>
      <c r="L34" s="20"/>
      <c r="M34" s="17">
        <v>0</v>
      </c>
      <c r="N34" s="20"/>
      <c r="O34" s="17">
        <v>0</v>
      </c>
      <c r="P34" s="20"/>
      <c r="Q34" s="17">
        <v>0</v>
      </c>
      <c r="R34" s="20"/>
      <c r="S34" s="17">
        <v>0</v>
      </c>
      <c r="T34" s="20"/>
      <c r="U34" s="17">
        <v>0</v>
      </c>
      <c r="V34" s="20"/>
      <c r="W34" s="17">
        <v>0</v>
      </c>
      <c r="X34" s="20"/>
      <c r="Y34" s="17">
        <v>0</v>
      </c>
      <c r="Z34" s="15">
        <f t="shared" si="11"/>
        <v>0</v>
      </c>
      <c r="AA34" s="16">
        <f t="shared" si="11"/>
        <v>0</v>
      </c>
      <c r="AB34" s="9"/>
      <c r="AC34" s="9"/>
    </row>
    <row r="35" spans="1:29" ht="15.75" customHeight="1" x14ac:dyDescent="0.3">
      <c r="A35" s="21" t="s">
        <v>259</v>
      </c>
      <c r="B35" s="20"/>
      <c r="C35" s="17">
        <v>0</v>
      </c>
      <c r="D35" s="20"/>
      <c r="E35" s="17">
        <v>0</v>
      </c>
      <c r="F35" s="20"/>
      <c r="G35" s="17">
        <v>0</v>
      </c>
      <c r="H35" s="20"/>
      <c r="I35" s="17">
        <v>0</v>
      </c>
      <c r="J35" s="20"/>
      <c r="K35" s="17">
        <v>0</v>
      </c>
      <c r="L35" s="20"/>
      <c r="M35" s="17">
        <v>0</v>
      </c>
      <c r="N35" s="20"/>
      <c r="O35" s="17">
        <v>0</v>
      </c>
      <c r="P35" s="20"/>
      <c r="Q35" s="17">
        <v>0</v>
      </c>
      <c r="R35" s="20"/>
      <c r="S35" s="17">
        <v>0</v>
      </c>
      <c r="T35" s="20"/>
      <c r="U35" s="17">
        <v>0</v>
      </c>
      <c r="V35" s="20"/>
      <c r="W35" s="17">
        <v>0</v>
      </c>
      <c r="X35" s="20"/>
      <c r="Y35" s="17">
        <v>0</v>
      </c>
      <c r="Z35" s="15">
        <f t="shared" si="11"/>
        <v>0</v>
      </c>
      <c r="AA35" s="16">
        <f t="shared" si="11"/>
        <v>0</v>
      </c>
      <c r="AB35" s="9"/>
      <c r="AC35" s="9"/>
    </row>
    <row r="36" spans="1:29" ht="15.75" customHeight="1" x14ac:dyDescent="0.3">
      <c r="A36" s="21" t="s">
        <v>260</v>
      </c>
      <c r="B36" s="20"/>
      <c r="C36" s="17">
        <v>0</v>
      </c>
      <c r="D36" s="20"/>
      <c r="E36" s="17">
        <v>0</v>
      </c>
      <c r="F36" s="20"/>
      <c r="G36" s="17">
        <v>0</v>
      </c>
      <c r="H36" s="20"/>
      <c r="I36" s="17">
        <v>0</v>
      </c>
      <c r="J36" s="20"/>
      <c r="K36" s="17">
        <v>0</v>
      </c>
      <c r="L36" s="20"/>
      <c r="M36" s="17">
        <v>0</v>
      </c>
      <c r="N36" s="20"/>
      <c r="O36" s="17">
        <v>0</v>
      </c>
      <c r="P36" s="20"/>
      <c r="Q36" s="17">
        <v>0</v>
      </c>
      <c r="R36" s="20"/>
      <c r="S36" s="17">
        <v>0</v>
      </c>
      <c r="T36" s="20"/>
      <c r="U36" s="17">
        <v>0</v>
      </c>
      <c r="V36" s="20"/>
      <c r="W36" s="17">
        <v>0</v>
      </c>
      <c r="X36" s="20"/>
      <c r="Y36" s="17">
        <v>0</v>
      </c>
      <c r="Z36" s="15">
        <f t="shared" si="11"/>
        <v>0</v>
      </c>
      <c r="AA36" s="16">
        <f t="shared" si="11"/>
        <v>0</v>
      </c>
      <c r="AB36" s="9"/>
      <c r="AC36" s="9"/>
    </row>
    <row r="37" spans="1:29" ht="15.75" customHeight="1" x14ac:dyDescent="0.3">
      <c r="A37" s="21" t="s">
        <v>261</v>
      </c>
      <c r="B37" s="20"/>
      <c r="C37" s="17">
        <v>0</v>
      </c>
      <c r="D37" s="20"/>
      <c r="E37" s="17">
        <v>0</v>
      </c>
      <c r="F37" s="20"/>
      <c r="G37" s="17">
        <v>0</v>
      </c>
      <c r="H37" s="20"/>
      <c r="I37" s="17">
        <v>0</v>
      </c>
      <c r="J37" s="20"/>
      <c r="K37" s="17">
        <v>0</v>
      </c>
      <c r="L37" s="20"/>
      <c r="M37" s="17">
        <v>0</v>
      </c>
      <c r="N37" s="20"/>
      <c r="O37" s="17">
        <v>0</v>
      </c>
      <c r="P37" s="20"/>
      <c r="Q37" s="17">
        <v>0</v>
      </c>
      <c r="R37" s="20"/>
      <c r="S37" s="17">
        <v>0</v>
      </c>
      <c r="T37" s="20"/>
      <c r="U37" s="17">
        <v>0</v>
      </c>
      <c r="V37" s="20"/>
      <c r="W37" s="17">
        <v>0</v>
      </c>
      <c r="X37" s="20"/>
      <c r="Y37" s="17">
        <v>0</v>
      </c>
      <c r="Z37" s="15">
        <f t="shared" si="11"/>
        <v>0</v>
      </c>
      <c r="AA37" s="16">
        <f t="shared" si="11"/>
        <v>0</v>
      </c>
      <c r="AB37" s="9"/>
      <c r="AC37" s="9"/>
    </row>
    <row r="38" spans="1:29" ht="15.75" customHeight="1" x14ac:dyDescent="0.3">
      <c r="A38" s="21" t="s">
        <v>262</v>
      </c>
      <c r="B38" s="20"/>
      <c r="C38" s="17">
        <v>0</v>
      </c>
      <c r="D38" s="20"/>
      <c r="E38" s="17">
        <v>0</v>
      </c>
      <c r="F38" s="20"/>
      <c r="G38" s="17">
        <v>0</v>
      </c>
      <c r="H38" s="20"/>
      <c r="I38" s="17">
        <v>0</v>
      </c>
      <c r="J38" s="20"/>
      <c r="K38" s="17">
        <v>0</v>
      </c>
      <c r="L38" s="20"/>
      <c r="M38" s="17">
        <v>0</v>
      </c>
      <c r="N38" s="20"/>
      <c r="O38" s="17">
        <v>0</v>
      </c>
      <c r="P38" s="20"/>
      <c r="Q38" s="17">
        <v>0</v>
      </c>
      <c r="R38" s="20"/>
      <c r="S38" s="17">
        <v>0</v>
      </c>
      <c r="T38" s="20"/>
      <c r="U38" s="17">
        <v>0</v>
      </c>
      <c r="V38" s="20"/>
      <c r="W38" s="17">
        <v>0</v>
      </c>
      <c r="X38" s="20"/>
      <c r="Y38" s="17">
        <v>0</v>
      </c>
      <c r="Z38" s="15">
        <f t="shared" si="11"/>
        <v>0</v>
      </c>
      <c r="AA38" s="16">
        <f t="shared" si="11"/>
        <v>0</v>
      </c>
      <c r="AB38" s="9"/>
      <c r="AC38" s="9"/>
    </row>
    <row r="39" spans="1:29" ht="15.75" customHeight="1" x14ac:dyDescent="0.3">
      <c r="A39" s="6" t="s">
        <v>263</v>
      </c>
      <c r="B39" s="6">
        <f>B31</f>
        <v>0</v>
      </c>
      <c r="C39" s="6">
        <f t="shared" ref="C39:AA39" si="12">C31</f>
        <v>0</v>
      </c>
      <c r="D39" s="6">
        <f t="shared" si="12"/>
        <v>0</v>
      </c>
      <c r="E39" s="6">
        <f t="shared" si="12"/>
        <v>0</v>
      </c>
      <c r="F39" s="6">
        <f t="shared" si="12"/>
        <v>0</v>
      </c>
      <c r="G39" s="6">
        <f t="shared" si="12"/>
        <v>0</v>
      </c>
      <c r="H39" s="6">
        <f t="shared" si="12"/>
        <v>0</v>
      </c>
      <c r="I39" s="6">
        <f t="shared" si="12"/>
        <v>0</v>
      </c>
      <c r="J39" s="6">
        <f t="shared" si="12"/>
        <v>0</v>
      </c>
      <c r="K39" s="6">
        <f t="shared" si="12"/>
        <v>0</v>
      </c>
      <c r="L39" s="6">
        <f t="shared" si="12"/>
        <v>0</v>
      </c>
      <c r="M39" s="6">
        <f t="shared" si="12"/>
        <v>0</v>
      </c>
      <c r="N39" s="6">
        <f t="shared" si="12"/>
        <v>0</v>
      </c>
      <c r="O39" s="6">
        <f t="shared" si="12"/>
        <v>0</v>
      </c>
      <c r="P39" s="6">
        <f t="shared" si="12"/>
        <v>0</v>
      </c>
      <c r="Q39" s="6">
        <f t="shared" si="12"/>
        <v>0</v>
      </c>
      <c r="R39" s="6">
        <f t="shared" si="12"/>
        <v>0</v>
      </c>
      <c r="S39" s="6">
        <f t="shared" si="12"/>
        <v>0</v>
      </c>
      <c r="T39" s="6">
        <f t="shared" si="12"/>
        <v>0</v>
      </c>
      <c r="U39" s="6">
        <f t="shared" si="12"/>
        <v>0</v>
      </c>
      <c r="V39" s="6">
        <f t="shared" si="12"/>
        <v>0</v>
      </c>
      <c r="W39" s="6">
        <f t="shared" si="12"/>
        <v>0</v>
      </c>
      <c r="X39" s="6">
        <f t="shared" si="12"/>
        <v>0</v>
      </c>
      <c r="Y39" s="6">
        <f t="shared" si="12"/>
        <v>0</v>
      </c>
      <c r="Z39" s="6">
        <f t="shared" si="12"/>
        <v>0</v>
      </c>
      <c r="AA39" s="6">
        <f t="shared" si="12"/>
        <v>0</v>
      </c>
      <c r="AB39" s="9"/>
      <c r="AC39" s="9"/>
    </row>
    <row r="40" spans="1:29" ht="15.75" customHeight="1" x14ac:dyDescent="0.3">
      <c r="A40" s="6" t="s">
        <v>264</v>
      </c>
      <c r="B40" s="6">
        <f t="shared" ref="B40:AA40" si="13">B7+B22-B30-B39</f>
        <v>8513.3487058823521</v>
      </c>
      <c r="C40" s="13">
        <f t="shared" si="13"/>
        <v>0</v>
      </c>
      <c r="D40" s="6">
        <f t="shared" si="13"/>
        <v>8768.1680000000051</v>
      </c>
      <c r="E40" s="13">
        <f t="shared" si="13"/>
        <v>0</v>
      </c>
      <c r="F40" s="6">
        <f t="shared" si="13"/>
        <v>3764.4578823529519</v>
      </c>
      <c r="G40" s="13">
        <f t="shared" si="13"/>
        <v>0</v>
      </c>
      <c r="H40" s="6">
        <f t="shared" si="13"/>
        <v>2260.7477647058986</v>
      </c>
      <c r="I40" s="13">
        <f t="shared" si="13"/>
        <v>0</v>
      </c>
      <c r="J40" s="6">
        <f t="shared" si="13"/>
        <v>2257.0376470588453</v>
      </c>
      <c r="K40" s="13">
        <f t="shared" si="13"/>
        <v>0</v>
      </c>
      <c r="L40" s="6">
        <f t="shared" si="13"/>
        <v>4770.3863529411974</v>
      </c>
      <c r="M40" s="13">
        <f t="shared" si="13"/>
        <v>0</v>
      </c>
      <c r="N40" s="6">
        <f t="shared" si="13"/>
        <v>3283.7350588235495</v>
      </c>
      <c r="O40" s="13">
        <f t="shared" si="13"/>
        <v>0</v>
      </c>
      <c r="P40" s="6">
        <f t="shared" si="13"/>
        <v>-3719.9750588235038</v>
      </c>
      <c r="Q40" s="13">
        <f t="shared" si="13"/>
        <v>0</v>
      </c>
      <c r="R40" s="6">
        <f t="shared" si="13"/>
        <v>-6723.6851764705571</v>
      </c>
      <c r="S40" s="13">
        <f t="shared" si="13"/>
        <v>0</v>
      </c>
      <c r="T40" s="6">
        <f t="shared" si="13"/>
        <v>-6727.3952941176103</v>
      </c>
      <c r="U40" s="13">
        <f t="shared" si="13"/>
        <v>0</v>
      </c>
      <c r="V40" s="6">
        <f t="shared" si="13"/>
        <v>-6731.1054117646636</v>
      </c>
      <c r="W40" s="13">
        <f t="shared" si="13"/>
        <v>0</v>
      </c>
      <c r="X40" s="6">
        <f t="shared" si="13"/>
        <v>-14285.991999999962</v>
      </c>
      <c r="Y40" s="13">
        <f t="shared" si="13"/>
        <v>0</v>
      </c>
      <c r="Z40" s="6">
        <f t="shared" si="13"/>
        <v>-14285.991999999969</v>
      </c>
      <c r="AA40" s="13">
        <f t="shared" si="13"/>
        <v>0</v>
      </c>
      <c r="AB40" s="9"/>
      <c r="AC40" s="9"/>
    </row>
    <row r="41" spans="1:29" ht="15.75" customHeight="1" x14ac:dyDescent="0.3">
      <c r="A41" s="1"/>
    </row>
    <row r="42" spans="1:29" ht="15.75" customHeight="1" x14ac:dyDescent="0.3">
      <c r="A42" s="1"/>
      <c r="B42" s="211"/>
    </row>
    <row r="43" spans="1:29" ht="15.75" customHeight="1" x14ac:dyDescent="0.3">
      <c r="A43" s="1"/>
      <c r="B43" s="211"/>
    </row>
    <row r="44" spans="1:29" ht="15.75" customHeight="1" x14ac:dyDescent="0.3">
      <c r="A44" s="1"/>
    </row>
    <row r="45" spans="1:29" ht="15.75" customHeight="1" x14ac:dyDescent="0.3">
      <c r="A45" s="1"/>
    </row>
    <row r="46" spans="1:29" ht="15.75" customHeight="1" x14ac:dyDescent="0.3">
      <c r="A46" s="1"/>
    </row>
    <row r="47" spans="1:29" ht="15.75" customHeight="1" x14ac:dyDescent="0.3">
      <c r="A47" s="1"/>
    </row>
    <row r="48" spans="1:29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4.4" x14ac:dyDescent="0.3">
      <c r="A991" s="1"/>
    </row>
    <row r="992" spans="1:1" ht="14.4" x14ac:dyDescent="0.3">
      <c r="A992" s="1"/>
    </row>
    <row r="993" spans="1:1" ht="14.4" x14ac:dyDescent="0.3">
      <c r="A993" s="1"/>
    </row>
    <row r="994" spans="1:1" ht="14.4" x14ac:dyDescent="0.3">
      <c r="A994" s="1"/>
    </row>
    <row r="995" spans="1:1" ht="14.4" x14ac:dyDescent="0.3">
      <c r="A995" s="1"/>
    </row>
    <row r="996" spans="1:1" ht="14.4" x14ac:dyDescent="0.3">
      <c r="A996" s="1"/>
    </row>
    <row r="997" spans="1:1" ht="14.4" x14ac:dyDescent="0.3">
      <c r="A997" s="1"/>
    </row>
    <row r="998" spans="1:1" ht="14.4" x14ac:dyDescent="0.3">
      <c r="A998" s="1"/>
    </row>
    <row r="999" spans="1:1" ht="14.4" x14ac:dyDescent="0.3">
      <c r="A999" s="1"/>
    </row>
    <row r="1000" spans="1:1" ht="14.4" x14ac:dyDescent="0.3">
      <c r="A1000" s="1"/>
    </row>
    <row r="1001" spans="1:1" ht="14.4" x14ac:dyDescent="0.3">
      <c r="A1001" s="1"/>
    </row>
    <row r="1002" spans="1:1" ht="14.4" x14ac:dyDescent="0.3">
      <c r="A1002" s="1"/>
    </row>
    <row r="1003" spans="1:1" ht="14.4" x14ac:dyDescent="0.3">
      <c r="A1003" s="1"/>
    </row>
    <row r="1004" spans="1:1" ht="14.4" x14ac:dyDescent="0.3">
      <c r="A1004" s="1"/>
    </row>
  </sheetData>
  <mergeCells count="15">
    <mergeCell ref="V5:W5"/>
    <mergeCell ref="Z5:AA5"/>
    <mergeCell ref="B1:Y1"/>
    <mergeCell ref="A5:A6"/>
    <mergeCell ref="B5:C5"/>
    <mergeCell ref="D5:E5"/>
    <mergeCell ref="F5:G5"/>
    <mergeCell ref="H5:I5"/>
    <mergeCell ref="J5:K5"/>
    <mergeCell ref="X5:Y5"/>
    <mergeCell ref="L5:M5"/>
    <mergeCell ref="N5:O5"/>
    <mergeCell ref="P5:Q5"/>
    <mergeCell ref="R5:S5"/>
    <mergeCell ref="T5:U5"/>
  </mergeCells>
  <pageMargins left="0.7" right="0.7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6CC"/>
  </sheetPr>
  <dimension ref="A1:AE1049"/>
  <sheetViews>
    <sheetView showGridLines="0" zoomScale="145" zoomScaleNormal="145" workbookViewId="0">
      <pane xSplit="1" topLeftCell="B1" activePane="topRight" state="frozen"/>
      <selection pane="topRight"/>
    </sheetView>
  </sheetViews>
  <sheetFormatPr defaultColWidth="14.44140625" defaultRowHeight="15" customHeight="1" outlineLevelRow="1" x14ac:dyDescent="0.3"/>
  <cols>
    <col min="1" max="1" width="37" customWidth="1"/>
    <col min="2" max="2" width="8.88671875" bestFit="1" customWidth="1"/>
    <col min="3" max="3" width="10.44140625" customWidth="1"/>
    <col min="4" max="4" width="10.6640625" customWidth="1"/>
    <col min="5" max="5" width="11" bestFit="1" customWidth="1"/>
    <col min="6" max="7" width="9.6640625" bestFit="1" customWidth="1"/>
    <col min="8" max="8" width="9" customWidth="1"/>
    <col min="9" max="9" width="9.6640625" bestFit="1" customWidth="1"/>
    <col min="10" max="10" width="9" customWidth="1"/>
    <col min="11" max="11" width="9.6640625" bestFit="1" customWidth="1"/>
    <col min="12" max="12" width="10.6640625" customWidth="1"/>
    <col min="13" max="13" width="9.6640625" bestFit="1" customWidth="1"/>
    <col min="14" max="14" width="10.6640625" customWidth="1"/>
    <col min="15" max="15" width="9.6640625" bestFit="1" customWidth="1"/>
    <col min="16" max="16" width="9.109375" customWidth="1"/>
    <col min="17" max="17" width="9.6640625" bestFit="1" customWidth="1"/>
    <col min="18" max="18" width="8.6640625" customWidth="1"/>
    <col min="19" max="19" width="9.6640625" customWidth="1"/>
    <col min="20" max="20" width="8.6640625" customWidth="1"/>
    <col min="21" max="21" width="9.6640625" bestFit="1" customWidth="1"/>
    <col min="22" max="22" width="9" bestFit="1" customWidth="1"/>
    <col min="23" max="23" width="9.6640625" bestFit="1" customWidth="1"/>
    <col min="24" max="24" width="8.6640625" bestFit="1" customWidth="1"/>
    <col min="25" max="25" width="9.5546875" customWidth="1"/>
    <col min="26" max="26" width="8.6640625" customWidth="1"/>
    <col min="27" max="27" width="11.33203125" bestFit="1" customWidth="1"/>
    <col min="28" max="28" width="9.6640625" bestFit="1" customWidth="1"/>
    <col min="29" max="29" width="10.5546875" bestFit="1" customWidth="1"/>
    <col min="30" max="30" width="7.109375" customWidth="1"/>
    <col min="31" max="31" width="11.5546875" customWidth="1"/>
  </cols>
  <sheetData>
    <row r="1" spans="1:31" ht="42" customHeight="1" x14ac:dyDescent="0.3">
      <c r="A1" s="508"/>
      <c r="B1" s="600" t="s">
        <v>265</v>
      </c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  <c r="Y1" s="601"/>
      <c r="Z1" s="601"/>
      <c r="AA1" s="508" t="s">
        <v>228</v>
      </c>
      <c r="AB1" s="508"/>
      <c r="AC1" s="508">
        <v>2025</v>
      </c>
      <c r="AD1" s="513"/>
    </row>
    <row r="2" spans="1:31" ht="6" customHeight="1" x14ac:dyDescent="0.3">
      <c r="C2" s="3"/>
      <c r="D2" s="3"/>
      <c r="AB2" s="1"/>
    </row>
    <row r="3" spans="1:31" ht="14.4" x14ac:dyDescent="0.3">
      <c r="A3" s="609" t="s">
        <v>266</v>
      </c>
      <c r="B3" s="514"/>
      <c r="C3" s="604">
        <f>Parametrização!$F$3</f>
        <v>46023</v>
      </c>
      <c r="D3" s="605"/>
      <c r="E3" s="604">
        <f>Parametrização!$F$4</f>
        <v>46054</v>
      </c>
      <c r="F3" s="605"/>
      <c r="G3" s="604">
        <f>Parametrização!$F$5</f>
        <v>46082</v>
      </c>
      <c r="H3" s="605"/>
      <c r="I3" s="604">
        <f>Parametrização!$F$6</f>
        <v>46113</v>
      </c>
      <c r="J3" s="605"/>
      <c r="K3" s="604">
        <f>Parametrização!$F$7</f>
        <v>46143</v>
      </c>
      <c r="L3" s="605"/>
      <c r="M3" s="604">
        <f>Parametrização!$F$8</f>
        <v>46174</v>
      </c>
      <c r="N3" s="605"/>
      <c r="O3" s="604">
        <f>Parametrização!$F$9</f>
        <v>46204</v>
      </c>
      <c r="P3" s="605"/>
      <c r="Q3" s="604">
        <f>Parametrização!$F$10</f>
        <v>46235</v>
      </c>
      <c r="R3" s="605"/>
      <c r="S3" s="604">
        <f>Parametrização!$F$11</f>
        <v>46266</v>
      </c>
      <c r="T3" s="605"/>
      <c r="U3" s="604">
        <f>Parametrização!$F$12</f>
        <v>46296</v>
      </c>
      <c r="V3" s="605"/>
      <c r="W3" s="604">
        <f>Parametrização!$F$13</f>
        <v>46327</v>
      </c>
      <c r="X3" s="605"/>
      <c r="Y3" s="604">
        <f>Parametrização!$F$14</f>
        <v>46357</v>
      </c>
      <c r="Z3" s="605"/>
      <c r="AA3" s="606" t="s">
        <v>267</v>
      </c>
      <c r="AB3" s="607"/>
      <c r="AC3" s="607"/>
      <c r="AD3" s="608"/>
    </row>
    <row r="4" spans="1:31" ht="14.4" hidden="1" x14ac:dyDescent="0.3">
      <c r="A4" s="610"/>
      <c r="B4" s="514"/>
      <c r="C4" s="515" t="e">
        <f>Parametrização!#REF!</f>
        <v>#REF!</v>
      </c>
      <c r="D4" s="516" t="e">
        <f>C4</f>
        <v>#REF!</v>
      </c>
      <c r="E4" s="515" t="e">
        <f>Parametrização!#REF!</f>
        <v>#REF!</v>
      </c>
      <c r="F4" s="516" t="e">
        <f>E4</f>
        <v>#REF!</v>
      </c>
      <c r="G4" s="515" t="e">
        <f>Parametrização!#REF!</f>
        <v>#REF!</v>
      </c>
      <c r="H4" s="516" t="e">
        <f>G4</f>
        <v>#REF!</v>
      </c>
      <c r="I4" s="515" t="e">
        <f>Parametrização!#REF!</f>
        <v>#REF!</v>
      </c>
      <c r="J4" s="516" t="e">
        <f>I4</f>
        <v>#REF!</v>
      </c>
      <c r="K4" s="515" t="e">
        <f>Parametrização!#REF!</f>
        <v>#REF!</v>
      </c>
      <c r="L4" s="516" t="e">
        <f>K4</f>
        <v>#REF!</v>
      </c>
      <c r="M4" s="515" t="e">
        <f>Parametrização!#REF!</f>
        <v>#REF!</v>
      </c>
      <c r="N4" s="516" t="e">
        <f>M4</f>
        <v>#REF!</v>
      </c>
      <c r="O4" s="515" t="e">
        <f>Parametrização!#REF!</f>
        <v>#REF!</v>
      </c>
      <c r="P4" s="516" t="e">
        <f>O4</f>
        <v>#REF!</v>
      </c>
      <c r="Q4" s="515" t="e">
        <f>Parametrização!#REF!</f>
        <v>#REF!</v>
      </c>
      <c r="R4" s="516" t="e">
        <f>Q4</f>
        <v>#REF!</v>
      </c>
      <c r="S4" s="515" t="e">
        <f>Parametrização!#REF!</f>
        <v>#REF!</v>
      </c>
      <c r="T4" s="516" t="e">
        <f>S4</f>
        <v>#REF!</v>
      </c>
      <c r="U4" s="515" t="e">
        <f>Parametrização!#REF!</f>
        <v>#REF!</v>
      </c>
      <c r="V4" s="516" t="e">
        <f>U4</f>
        <v>#REF!</v>
      </c>
      <c r="W4" s="515" t="e">
        <f>Parametrização!#REF!</f>
        <v>#REF!</v>
      </c>
      <c r="X4" s="516" t="e">
        <f>W4</f>
        <v>#REF!</v>
      </c>
      <c r="Y4" s="515" t="e">
        <f>Parametrização!#REF!</f>
        <v>#REF!</v>
      </c>
      <c r="Z4" s="516" t="e">
        <f>Y4</f>
        <v>#REF!</v>
      </c>
      <c r="AA4" s="511"/>
      <c r="AB4" s="511"/>
      <c r="AC4" s="511"/>
      <c r="AD4" s="511"/>
      <c r="AE4" s="1"/>
    </row>
    <row r="5" spans="1:31" ht="14.4" hidden="1" x14ac:dyDescent="0.3">
      <c r="A5" s="610"/>
      <c r="B5" s="514"/>
      <c r="C5" s="515" t="e">
        <f>Parametrização!#REF!</f>
        <v>#REF!</v>
      </c>
      <c r="D5" s="516" t="e">
        <f>C5</f>
        <v>#REF!</v>
      </c>
      <c r="E5" s="515" t="e">
        <f>Parametrização!#REF!</f>
        <v>#REF!</v>
      </c>
      <c r="F5" s="516" t="e">
        <f>E5</f>
        <v>#REF!</v>
      </c>
      <c r="G5" s="515" t="e">
        <f>Parametrização!#REF!</f>
        <v>#REF!</v>
      </c>
      <c r="H5" s="516" t="e">
        <f>G5</f>
        <v>#REF!</v>
      </c>
      <c r="I5" s="515" t="e">
        <f>Parametrização!#REF!</f>
        <v>#REF!</v>
      </c>
      <c r="J5" s="516" t="e">
        <f>I5</f>
        <v>#REF!</v>
      </c>
      <c r="K5" s="515" t="e">
        <f>Parametrização!#REF!</f>
        <v>#REF!</v>
      </c>
      <c r="L5" s="516" t="e">
        <f>K5</f>
        <v>#REF!</v>
      </c>
      <c r="M5" s="515" t="e">
        <f>Parametrização!#REF!</f>
        <v>#REF!</v>
      </c>
      <c r="N5" s="516" t="e">
        <f>M5</f>
        <v>#REF!</v>
      </c>
      <c r="O5" s="515" t="e">
        <f>Parametrização!#REF!</f>
        <v>#REF!</v>
      </c>
      <c r="P5" s="516" t="e">
        <f>O5</f>
        <v>#REF!</v>
      </c>
      <c r="Q5" s="515" t="e">
        <f>Parametrização!#REF!</f>
        <v>#REF!</v>
      </c>
      <c r="R5" s="516" t="e">
        <f>Q5</f>
        <v>#REF!</v>
      </c>
      <c r="S5" s="515" t="e">
        <f>Parametrização!#REF!</f>
        <v>#REF!</v>
      </c>
      <c r="T5" s="516" t="e">
        <f>S5</f>
        <v>#REF!</v>
      </c>
      <c r="U5" s="515" t="e">
        <f>Parametrização!#REF!</f>
        <v>#REF!</v>
      </c>
      <c r="V5" s="516" t="e">
        <f>U5</f>
        <v>#REF!</v>
      </c>
      <c r="W5" s="515" t="e">
        <f>Parametrização!#REF!</f>
        <v>#REF!</v>
      </c>
      <c r="X5" s="516" t="e">
        <f>W5</f>
        <v>#REF!</v>
      </c>
      <c r="Y5" s="515" t="e">
        <f>Parametrização!#REF!</f>
        <v>#REF!</v>
      </c>
      <c r="Z5" s="516" t="e">
        <f>Y5</f>
        <v>#REF!</v>
      </c>
      <c r="AA5" s="511"/>
      <c r="AB5" s="511"/>
      <c r="AC5" s="511"/>
      <c r="AD5" s="511"/>
      <c r="AE5" s="1"/>
    </row>
    <row r="6" spans="1:31" ht="14.4" x14ac:dyDescent="0.3">
      <c r="A6" s="611"/>
      <c r="B6" s="25" t="s">
        <v>0</v>
      </c>
      <c r="C6" s="26" t="s">
        <v>231</v>
      </c>
      <c r="D6" s="26" t="s">
        <v>232</v>
      </c>
      <c r="E6" s="26" t="s">
        <v>231</v>
      </c>
      <c r="F6" s="26" t="s">
        <v>232</v>
      </c>
      <c r="G6" s="26" t="s">
        <v>231</v>
      </c>
      <c r="H6" s="26" t="s">
        <v>232</v>
      </c>
      <c r="I6" s="26">
        <v>1600</v>
      </c>
      <c r="J6" s="26" t="s">
        <v>232</v>
      </c>
      <c r="K6" s="26" t="s">
        <v>231</v>
      </c>
      <c r="L6" s="26" t="s">
        <v>232</v>
      </c>
      <c r="M6" s="26" t="s">
        <v>231</v>
      </c>
      <c r="N6" s="26" t="s">
        <v>232</v>
      </c>
      <c r="O6" s="26" t="s">
        <v>231</v>
      </c>
      <c r="P6" s="26" t="s">
        <v>232</v>
      </c>
      <c r="Q6" s="26" t="s">
        <v>231</v>
      </c>
      <c r="R6" s="26" t="s">
        <v>232</v>
      </c>
      <c r="S6" s="26" t="s">
        <v>231</v>
      </c>
      <c r="T6" s="26" t="s">
        <v>232</v>
      </c>
      <c r="U6" s="26" t="s">
        <v>231</v>
      </c>
      <c r="V6" s="26" t="s">
        <v>232</v>
      </c>
      <c r="W6" s="26" t="s">
        <v>231</v>
      </c>
      <c r="X6" s="26" t="s">
        <v>232</v>
      </c>
      <c r="Y6" s="26" t="s">
        <v>231</v>
      </c>
      <c r="Z6" s="26" t="s">
        <v>232</v>
      </c>
      <c r="AA6" s="26" t="s">
        <v>231</v>
      </c>
      <c r="AB6" s="26" t="s">
        <v>16</v>
      </c>
      <c r="AC6" s="26" t="s">
        <v>232</v>
      </c>
      <c r="AD6" s="26" t="s">
        <v>16</v>
      </c>
    </row>
    <row r="7" spans="1:31" ht="14.4" x14ac:dyDescent="0.3">
      <c r="A7" s="189" t="s">
        <v>268</v>
      </c>
      <c r="B7" s="190"/>
      <c r="C7" s="200">
        <v>4000</v>
      </c>
      <c r="D7" s="206">
        <v>0</v>
      </c>
      <c r="E7" s="200">
        <v>4500</v>
      </c>
      <c r="F7" s="206">
        <v>0</v>
      </c>
      <c r="G7" s="200">
        <v>5000</v>
      </c>
      <c r="H7" s="206">
        <v>0</v>
      </c>
      <c r="I7" s="200">
        <v>5000</v>
      </c>
      <c r="J7" s="206">
        <v>0</v>
      </c>
      <c r="K7" s="200">
        <v>5000</v>
      </c>
      <c r="L7" s="206">
        <v>0</v>
      </c>
      <c r="M7" s="200">
        <v>4000</v>
      </c>
      <c r="N7" s="206">
        <v>0</v>
      </c>
      <c r="O7" s="200">
        <v>4000</v>
      </c>
      <c r="P7" s="206">
        <v>0</v>
      </c>
      <c r="Q7" s="200">
        <v>5000</v>
      </c>
      <c r="R7" s="206">
        <v>0</v>
      </c>
      <c r="S7" s="200">
        <v>5000</v>
      </c>
      <c r="T7" s="206">
        <v>0</v>
      </c>
      <c r="U7" s="200">
        <v>5000</v>
      </c>
      <c r="V7" s="206">
        <v>0</v>
      </c>
      <c r="W7" s="200">
        <v>5000</v>
      </c>
      <c r="X7" s="206">
        <v>0</v>
      </c>
      <c r="Y7" s="200">
        <v>8000</v>
      </c>
      <c r="Z7" s="206">
        <v>0</v>
      </c>
      <c r="AA7" s="210">
        <f>C7+E7+G7+I7+K7+M7+O7+Q7+S7+U7+W7+Y7</f>
        <v>59500</v>
      </c>
      <c r="AB7" s="191"/>
      <c r="AC7" s="39">
        <f>D7+F7+H7+J7+L7+N7+P7+R7+T7+V7+X7+Z7</f>
        <v>0</v>
      </c>
      <c r="AD7" s="188"/>
    </row>
    <row r="8" spans="1:31" ht="14.4" x14ac:dyDescent="0.3">
      <c r="A8" s="189" t="s">
        <v>269</v>
      </c>
      <c r="B8" s="190"/>
      <c r="C8" s="201">
        <v>10</v>
      </c>
      <c r="D8" s="207">
        <v>0</v>
      </c>
      <c r="E8" s="201">
        <v>10</v>
      </c>
      <c r="F8" s="207">
        <v>0</v>
      </c>
      <c r="G8" s="201">
        <v>10</v>
      </c>
      <c r="H8" s="207">
        <v>0</v>
      </c>
      <c r="I8" s="201">
        <v>10</v>
      </c>
      <c r="J8" s="207">
        <v>0</v>
      </c>
      <c r="K8" s="201">
        <v>10</v>
      </c>
      <c r="L8" s="207">
        <v>0</v>
      </c>
      <c r="M8" s="201">
        <v>10</v>
      </c>
      <c r="N8" s="207">
        <v>0</v>
      </c>
      <c r="O8" s="201">
        <v>10</v>
      </c>
      <c r="P8" s="207">
        <v>0</v>
      </c>
      <c r="Q8" s="201">
        <v>10</v>
      </c>
      <c r="R8" s="207">
        <v>0</v>
      </c>
      <c r="S8" s="201">
        <v>10</v>
      </c>
      <c r="T8" s="207">
        <v>0</v>
      </c>
      <c r="U8" s="201">
        <v>10</v>
      </c>
      <c r="V8" s="207">
        <v>0</v>
      </c>
      <c r="W8" s="201">
        <v>10</v>
      </c>
      <c r="X8" s="207">
        <v>0</v>
      </c>
      <c r="Y8" s="201">
        <v>10</v>
      </c>
      <c r="Z8" s="207">
        <v>0</v>
      </c>
      <c r="AA8" s="192">
        <f>IFERROR((AA9/AA7),0)</f>
        <v>10</v>
      </c>
      <c r="AB8" s="191"/>
      <c r="AC8" s="193">
        <f>IFERROR((AC9/AC7),0)</f>
        <v>0</v>
      </c>
      <c r="AD8" s="188"/>
    </row>
    <row r="9" spans="1:31" ht="14.4" x14ac:dyDescent="0.3">
      <c r="A9" s="27" t="s">
        <v>270</v>
      </c>
      <c r="B9" s="28"/>
      <c r="C9" s="29">
        <f>C7*C8</f>
        <v>40000</v>
      </c>
      <c r="D9" s="324">
        <f t="shared" ref="D9:Z9" si="0">D7*D8</f>
        <v>0</v>
      </c>
      <c r="E9" s="29">
        <f>E7*E8</f>
        <v>45000</v>
      </c>
      <c r="F9" s="29">
        <f t="shared" si="0"/>
        <v>0</v>
      </c>
      <c r="G9" s="29">
        <f>G7*G8</f>
        <v>50000</v>
      </c>
      <c r="H9" s="29">
        <f t="shared" si="0"/>
        <v>0</v>
      </c>
      <c r="I9" s="29">
        <f>I7*I8</f>
        <v>50000</v>
      </c>
      <c r="J9" s="44">
        <f t="shared" si="0"/>
        <v>0</v>
      </c>
      <c r="K9" s="29">
        <f>K7*K8</f>
        <v>50000</v>
      </c>
      <c r="L9" s="44">
        <f t="shared" si="0"/>
        <v>0</v>
      </c>
      <c r="M9" s="29">
        <f>M7*M8</f>
        <v>40000</v>
      </c>
      <c r="N9" s="29">
        <f t="shared" si="0"/>
        <v>0</v>
      </c>
      <c r="O9" s="29">
        <f>O7*O8</f>
        <v>40000</v>
      </c>
      <c r="P9" s="29">
        <f t="shared" si="0"/>
        <v>0</v>
      </c>
      <c r="Q9" s="29">
        <f>Q7*Q8</f>
        <v>50000</v>
      </c>
      <c r="R9" s="29">
        <f t="shared" si="0"/>
        <v>0</v>
      </c>
      <c r="S9" s="29">
        <f>S7*S8</f>
        <v>50000</v>
      </c>
      <c r="T9" s="44">
        <f t="shared" si="0"/>
        <v>0</v>
      </c>
      <c r="U9" s="29">
        <f>U7*U8</f>
        <v>50000</v>
      </c>
      <c r="V9" s="29">
        <f t="shared" si="0"/>
        <v>0</v>
      </c>
      <c r="W9" s="29">
        <f>W7*W8</f>
        <v>50000</v>
      </c>
      <c r="X9" s="29">
        <f t="shared" si="0"/>
        <v>0</v>
      </c>
      <c r="Y9" s="29">
        <f>Y7*Y8</f>
        <v>80000</v>
      </c>
      <c r="Z9" s="29">
        <f t="shared" si="0"/>
        <v>0</v>
      </c>
      <c r="AA9" s="29">
        <f>C9+E9+G9+I9+K9+M9+O9+Q9+S9+U9+W9+Y9</f>
        <v>595000</v>
      </c>
      <c r="AB9" s="31">
        <f t="shared" ref="AB9:AB18" si="1">IFERROR((AA9/$AA$9),0)</f>
        <v>1</v>
      </c>
      <c r="AC9" s="32">
        <f>D9+F9+H9+J9+L9+N9+P9+R9+T9+V9+X9+Z9</f>
        <v>0</v>
      </c>
      <c r="AD9" s="33">
        <f>IFERROR((AC9/$AC$9),0)</f>
        <v>0</v>
      </c>
      <c r="AE9" s="321">
        <f>+AA9/AA7</f>
        <v>10</v>
      </c>
    </row>
    <row r="10" spans="1:31" ht="14.4" x14ac:dyDescent="0.3">
      <c r="A10" s="34" t="s">
        <v>271</v>
      </c>
      <c r="B10" s="314">
        <f t="shared" ref="B10:AA10" si="2">SUM(B11:B14)</f>
        <v>7.1705882352941175E-2</v>
      </c>
      <c r="C10" s="175">
        <f t="shared" si="2"/>
        <v>2868.2352941176468</v>
      </c>
      <c r="D10" s="325">
        <f t="shared" si="2"/>
        <v>0</v>
      </c>
      <c r="E10" s="36">
        <f t="shared" si="2"/>
        <v>3226.7647058823527</v>
      </c>
      <c r="F10" s="37">
        <f t="shared" si="2"/>
        <v>0</v>
      </c>
      <c r="G10" s="36">
        <f t="shared" si="2"/>
        <v>3585.2941176470586</v>
      </c>
      <c r="H10" s="37">
        <f t="shared" si="2"/>
        <v>0</v>
      </c>
      <c r="I10" s="36">
        <f t="shared" si="2"/>
        <v>3585.2941176470586</v>
      </c>
      <c r="J10" s="37">
        <f t="shared" si="2"/>
        <v>0</v>
      </c>
      <c r="K10" s="36">
        <f t="shared" si="2"/>
        <v>3585.2941176470586</v>
      </c>
      <c r="L10" s="37">
        <f t="shared" si="2"/>
        <v>0</v>
      </c>
      <c r="M10" s="36">
        <f t="shared" si="2"/>
        <v>2868.2352941176468</v>
      </c>
      <c r="N10" s="37">
        <f t="shared" si="2"/>
        <v>0</v>
      </c>
      <c r="O10" s="36">
        <f t="shared" si="2"/>
        <v>2868.2352941176468</v>
      </c>
      <c r="P10" s="37">
        <f t="shared" si="2"/>
        <v>0</v>
      </c>
      <c r="Q10" s="36">
        <f t="shared" si="2"/>
        <v>3585.2941176470586</v>
      </c>
      <c r="R10" s="37">
        <f t="shared" si="2"/>
        <v>0</v>
      </c>
      <c r="S10" s="36">
        <f t="shared" si="2"/>
        <v>3585.2941176470586</v>
      </c>
      <c r="T10" s="37">
        <f t="shared" si="2"/>
        <v>0</v>
      </c>
      <c r="U10" s="36">
        <f t="shared" si="2"/>
        <v>3585.2941176470586</v>
      </c>
      <c r="V10" s="37">
        <f t="shared" si="2"/>
        <v>0</v>
      </c>
      <c r="W10" s="36">
        <f t="shared" si="2"/>
        <v>3585.2941176470586</v>
      </c>
      <c r="X10" s="37">
        <f t="shared" si="2"/>
        <v>0</v>
      </c>
      <c r="Y10" s="36">
        <f t="shared" si="2"/>
        <v>5736.4705882352937</v>
      </c>
      <c r="Z10" s="37">
        <f t="shared" si="2"/>
        <v>0</v>
      </c>
      <c r="AA10" s="36">
        <f t="shared" si="2"/>
        <v>42665</v>
      </c>
      <c r="AB10" s="38">
        <f t="shared" si="1"/>
        <v>7.1705882352941175E-2</v>
      </c>
      <c r="AC10" s="37">
        <f>SUM(AC11:AC14)</f>
        <v>0</v>
      </c>
      <c r="AD10" s="33">
        <f t="shared" ref="AD10:AD64" si="3">IFERROR((AC10/$AC$9),0)</f>
        <v>0</v>
      </c>
      <c r="AE10" s="187">
        <f>+AA10/AA9</f>
        <v>7.1705882352941175E-2</v>
      </c>
    </row>
    <row r="11" spans="1:31" ht="14.4" x14ac:dyDescent="0.3">
      <c r="A11" s="40" t="str">
        <f>Parametrização!B13</f>
        <v>SIMPLES</v>
      </c>
      <c r="B11" s="202">
        <f>IFERROR((SIMPLES!K8),0)</f>
        <v>7.1705882352941175E-2</v>
      </c>
      <c r="C11" s="141">
        <f t="shared" ref="C11:Z11" si="4">C$9*$B11</f>
        <v>2868.2352941176468</v>
      </c>
      <c r="D11" s="323">
        <f t="shared" si="4"/>
        <v>0</v>
      </c>
      <c r="E11" s="141">
        <f t="shared" si="4"/>
        <v>3226.7647058823527</v>
      </c>
      <c r="F11" s="208">
        <f t="shared" si="4"/>
        <v>0</v>
      </c>
      <c r="G11" s="141">
        <f t="shared" si="4"/>
        <v>3585.2941176470586</v>
      </c>
      <c r="H11" s="208">
        <f t="shared" si="4"/>
        <v>0</v>
      </c>
      <c r="I11" s="141">
        <f t="shared" si="4"/>
        <v>3585.2941176470586</v>
      </c>
      <c r="J11" s="208">
        <f t="shared" si="4"/>
        <v>0</v>
      </c>
      <c r="K11" s="141">
        <f t="shared" si="4"/>
        <v>3585.2941176470586</v>
      </c>
      <c r="L11" s="208">
        <f t="shared" si="4"/>
        <v>0</v>
      </c>
      <c r="M11" s="141">
        <f t="shared" si="4"/>
        <v>2868.2352941176468</v>
      </c>
      <c r="N11" s="208">
        <f t="shared" si="4"/>
        <v>0</v>
      </c>
      <c r="O11" s="141">
        <f t="shared" si="4"/>
        <v>2868.2352941176468</v>
      </c>
      <c r="P11" s="208">
        <f t="shared" si="4"/>
        <v>0</v>
      </c>
      <c r="Q11" s="141">
        <f t="shared" si="4"/>
        <v>3585.2941176470586</v>
      </c>
      <c r="R11" s="208">
        <f t="shared" si="4"/>
        <v>0</v>
      </c>
      <c r="S11" s="141">
        <f t="shared" si="4"/>
        <v>3585.2941176470586</v>
      </c>
      <c r="T11" s="208">
        <f t="shared" si="4"/>
        <v>0</v>
      </c>
      <c r="U11" s="141">
        <f t="shared" si="4"/>
        <v>3585.2941176470586</v>
      </c>
      <c r="V11" s="208">
        <f t="shared" si="4"/>
        <v>0</v>
      </c>
      <c r="W11" s="141">
        <f t="shared" si="4"/>
        <v>3585.2941176470586</v>
      </c>
      <c r="X11" s="208">
        <f t="shared" si="4"/>
        <v>0</v>
      </c>
      <c r="Y11" s="141">
        <f t="shared" si="4"/>
        <v>5736.4705882352937</v>
      </c>
      <c r="Z11" s="208">
        <f t="shared" si="4"/>
        <v>0</v>
      </c>
      <c r="AA11" s="141">
        <f>C11+E11+G11+I11+K11+M11+O11+Q11+S11+U11+W11+Y11</f>
        <v>42665</v>
      </c>
      <c r="AB11" s="38">
        <f t="shared" si="1"/>
        <v>7.1705882352941175E-2</v>
      </c>
      <c r="AC11" s="142">
        <f>D11+F11+H11+J11+L11+N11+P11+R11+T11+V11+X11+Z11</f>
        <v>0</v>
      </c>
      <c r="AD11" s="33">
        <f t="shared" si="3"/>
        <v>0</v>
      </c>
    </row>
    <row r="12" spans="1:31" ht="14.4" x14ac:dyDescent="0.3">
      <c r="A12" s="40" t="s">
        <v>65</v>
      </c>
      <c r="B12" s="202">
        <v>0</v>
      </c>
      <c r="C12" s="141">
        <f t="shared" ref="C12:Y14" si="5">C$9*$B12</f>
        <v>0</v>
      </c>
      <c r="D12" s="323">
        <f t="shared" si="5"/>
        <v>0</v>
      </c>
      <c r="E12" s="141">
        <f t="shared" si="5"/>
        <v>0</v>
      </c>
      <c r="F12" s="208">
        <f t="shared" si="5"/>
        <v>0</v>
      </c>
      <c r="G12" s="141">
        <f t="shared" si="5"/>
        <v>0</v>
      </c>
      <c r="H12" s="208">
        <f t="shared" si="5"/>
        <v>0</v>
      </c>
      <c r="I12" s="141">
        <f t="shared" si="5"/>
        <v>0</v>
      </c>
      <c r="J12" s="208">
        <f t="shared" si="5"/>
        <v>0</v>
      </c>
      <c r="K12" s="141">
        <f t="shared" si="5"/>
        <v>0</v>
      </c>
      <c r="L12" s="208">
        <f t="shared" si="5"/>
        <v>0</v>
      </c>
      <c r="M12" s="141">
        <f t="shared" si="5"/>
        <v>0</v>
      </c>
      <c r="N12" s="208">
        <f t="shared" si="5"/>
        <v>0</v>
      </c>
      <c r="O12" s="141">
        <f t="shared" si="5"/>
        <v>0</v>
      </c>
      <c r="P12" s="208">
        <f t="shared" si="5"/>
        <v>0</v>
      </c>
      <c r="Q12" s="141">
        <f t="shared" si="5"/>
        <v>0</v>
      </c>
      <c r="R12" s="208">
        <f t="shared" si="5"/>
        <v>0</v>
      </c>
      <c r="S12" s="141">
        <f t="shared" si="5"/>
        <v>0</v>
      </c>
      <c r="T12" s="208">
        <f t="shared" si="5"/>
        <v>0</v>
      </c>
      <c r="U12" s="141">
        <f t="shared" si="5"/>
        <v>0</v>
      </c>
      <c r="V12" s="208">
        <f t="shared" si="5"/>
        <v>0</v>
      </c>
      <c r="W12" s="141">
        <f t="shared" si="5"/>
        <v>0</v>
      </c>
      <c r="X12" s="208">
        <f t="shared" ref="W12:X14" si="6">X$9*$B12</f>
        <v>0</v>
      </c>
      <c r="Y12" s="141">
        <f t="shared" si="5"/>
        <v>0</v>
      </c>
      <c r="Z12" s="208">
        <f t="shared" ref="Y12:Z14" si="7">Z$9*$B12</f>
        <v>0</v>
      </c>
      <c r="AA12" s="141">
        <f>C12+E12+G12+I12+K12+M12+O12+Q12+S12+U12+W12+Y12</f>
        <v>0</v>
      </c>
      <c r="AB12" s="38">
        <f>IFERROR((AA12/$AA$9),0)</f>
        <v>0</v>
      </c>
      <c r="AC12" s="142">
        <f>D12+F12+H12+J12+L12+N12+P12+R12+T12+V12+X12+Z12</f>
        <v>0</v>
      </c>
      <c r="AD12" s="33">
        <f t="shared" si="3"/>
        <v>0</v>
      </c>
    </row>
    <row r="13" spans="1:31" ht="14.4" x14ac:dyDescent="0.3">
      <c r="A13" s="40" t="s">
        <v>66</v>
      </c>
      <c r="B13" s="202">
        <v>0</v>
      </c>
      <c r="C13" s="141">
        <f t="shared" si="5"/>
        <v>0</v>
      </c>
      <c r="D13" s="323">
        <f t="shared" si="5"/>
        <v>0</v>
      </c>
      <c r="E13" s="141">
        <f t="shared" si="5"/>
        <v>0</v>
      </c>
      <c r="F13" s="208">
        <f t="shared" si="5"/>
        <v>0</v>
      </c>
      <c r="G13" s="141">
        <f t="shared" si="5"/>
        <v>0</v>
      </c>
      <c r="H13" s="208">
        <f t="shared" si="5"/>
        <v>0</v>
      </c>
      <c r="I13" s="141">
        <f t="shared" si="5"/>
        <v>0</v>
      </c>
      <c r="J13" s="208">
        <f t="shared" si="5"/>
        <v>0</v>
      </c>
      <c r="K13" s="141">
        <f t="shared" si="5"/>
        <v>0</v>
      </c>
      <c r="L13" s="208">
        <f t="shared" si="5"/>
        <v>0</v>
      </c>
      <c r="M13" s="141">
        <f t="shared" si="5"/>
        <v>0</v>
      </c>
      <c r="N13" s="208">
        <f t="shared" si="5"/>
        <v>0</v>
      </c>
      <c r="O13" s="141">
        <f t="shared" si="5"/>
        <v>0</v>
      </c>
      <c r="P13" s="208">
        <f t="shared" si="5"/>
        <v>0</v>
      </c>
      <c r="Q13" s="141">
        <f t="shared" si="5"/>
        <v>0</v>
      </c>
      <c r="R13" s="208">
        <f t="shared" si="5"/>
        <v>0</v>
      </c>
      <c r="S13" s="141">
        <f t="shared" si="5"/>
        <v>0</v>
      </c>
      <c r="T13" s="208">
        <f t="shared" si="5"/>
        <v>0</v>
      </c>
      <c r="U13" s="141">
        <f t="shared" si="5"/>
        <v>0</v>
      </c>
      <c r="V13" s="208">
        <f t="shared" si="5"/>
        <v>0</v>
      </c>
      <c r="W13" s="141">
        <f t="shared" si="6"/>
        <v>0</v>
      </c>
      <c r="X13" s="208">
        <f t="shared" si="6"/>
        <v>0</v>
      </c>
      <c r="Y13" s="141">
        <f t="shared" si="7"/>
        <v>0</v>
      </c>
      <c r="Z13" s="208">
        <f t="shared" si="7"/>
        <v>0</v>
      </c>
      <c r="AA13" s="141">
        <f>C13+E13+G13+I13+K13+M13+O13+Q13+S13+U13+W13+Y13</f>
        <v>0</v>
      </c>
      <c r="AB13" s="38">
        <f>IFERROR((AA13/$AA$9),0)</f>
        <v>0</v>
      </c>
      <c r="AC13" s="142">
        <f>D13+F13+H13+J13+L13+N13+P13+R13+T13+V13+X13+Z13</f>
        <v>0</v>
      </c>
      <c r="AD13" s="33">
        <f t="shared" si="3"/>
        <v>0</v>
      </c>
    </row>
    <row r="14" spans="1:31" ht="14.4" x14ac:dyDescent="0.3">
      <c r="A14" s="40" t="s">
        <v>67</v>
      </c>
      <c r="B14" s="202">
        <v>0</v>
      </c>
      <c r="C14" s="141">
        <f t="shared" si="5"/>
        <v>0</v>
      </c>
      <c r="D14" s="323">
        <f t="shared" si="5"/>
        <v>0</v>
      </c>
      <c r="E14" s="141">
        <f t="shared" si="5"/>
        <v>0</v>
      </c>
      <c r="F14" s="208">
        <f t="shared" si="5"/>
        <v>0</v>
      </c>
      <c r="G14" s="141">
        <f t="shared" si="5"/>
        <v>0</v>
      </c>
      <c r="H14" s="208">
        <f t="shared" si="5"/>
        <v>0</v>
      </c>
      <c r="I14" s="141">
        <f t="shared" si="5"/>
        <v>0</v>
      </c>
      <c r="J14" s="208">
        <f t="shared" si="5"/>
        <v>0</v>
      </c>
      <c r="K14" s="141">
        <f t="shared" si="5"/>
        <v>0</v>
      </c>
      <c r="L14" s="208">
        <f t="shared" si="5"/>
        <v>0</v>
      </c>
      <c r="M14" s="141">
        <f t="shared" si="5"/>
        <v>0</v>
      </c>
      <c r="N14" s="208">
        <f t="shared" si="5"/>
        <v>0</v>
      </c>
      <c r="O14" s="141">
        <f t="shared" si="5"/>
        <v>0</v>
      </c>
      <c r="P14" s="208">
        <f t="shared" si="5"/>
        <v>0</v>
      </c>
      <c r="Q14" s="141">
        <f t="shared" si="5"/>
        <v>0</v>
      </c>
      <c r="R14" s="208">
        <f t="shared" si="5"/>
        <v>0</v>
      </c>
      <c r="S14" s="141">
        <f t="shared" si="5"/>
        <v>0</v>
      </c>
      <c r="T14" s="208">
        <f t="shared" si="5"/>
        <v>0</v>
      </c>
      <c r="U14" s="141">
        <f t="shared" si="5"/>
        <v>0</v>
      </c>
      <c r="V14" s="208">
        <f t="shared" si="5"/>
        <v>0</v>
      </c>
      <c r="W14" s="141">
        <f t="shared" si="6"/>
        <v>0</v>
      </c>
      <c r="X14" s="208">
        <f t="shared" si="6"/>
        <v>0</v>
      </c>
      <c r="Y14" s="141">
        <f t="shared" si="7"/>
        <v>0</v>
      </c>
      <c r="Z14" s="208">
        <f t="shared" si="7"/>
        <v>0</v>
      </c>
      <c r="AA14" s="141">
        <f>C14+E14+G14+I14+K14+M14+O14+Q14+S14+U14+W14+Y14</f>
        <v>0</v>
      </c>
      <c r="AB14" s="38">
        <f>IFERROR((AA14/$AA$9),0)</f>
        <v>0</v>
      </c>
      <c r="AC14" s="142">
        <f>D14+F14+H14+J14+L14+N14+P14+R14+T14+V14+X14+Z14</f>
        <v>0</v>
      </c>
      <c r="AD14" s="33">
        <f t="shared" si="3"/>
        <v>0</v>
      </c>
    </row>
    <row r="15" spans="1:31" ht="14.4" x14ac:dyDescent="0.3">
      <c r="A15" s="27" t="s">
        <v>272</v>
      </c>
      <c r="B15" s="43"/>
      <c r="C15" s="44">
        <f t="shared" ref="C15:AA15" si="8">C9-C10</f>
        <v>37131.76470588235</v>
      </c>
      <c r="D15" s="326">
        <f t="shared" si="8"/>
        <v>0</v>
      </c>
      <c r="E15" s="44">
        <f t="shared" si="8"/>
        <v>41773.23529411765</v>
      </c>
      <c r="F15" s="30">
        <f t="shared" si="8"/>
        <v>0</v>
      </c>
      <c r="G15" s="44">
        <f t="shared" si="8"/>
        <v>46414.705882352944</v>
      </c>
      <c r="H15" s="30">
        <f t="shared" si="8"/>
        <v>0</v>
      </c>
      <c r="I15" s="44">
        <f t="shared" si="8"/>
        <v>46414.705882352944</v>
      </c>
      <c r="J15" s="30">
        <f t="shared" si="8"/>
        <v>0</v>
      </c>
      <c r="K15" s="44">
        <f t="shared" si="8"/>
        <v>46414.705882352944</v>
      </c>
      <c r="L15" s="30">
        <f t="shared" si="8"/>
        <v>0</v>
      </c>
      <c r="M15" s="44">
        <f t="shared" si="8"/>
        <v>37131.76470588235</v>
      </c>
      <c r="N15" s="30">
        <f t="shared" si="8"/>
        <v>0</v>
      </c>
      <c r="O15" s="44">
        <f t="shared" si="8"/>
        <v>37131.76470588235</v>
      </c>
      <c r="P15" s="30">
        <f t="shared" si="8"/>
        <v>0</v>
      </c>
      <c r="Q15" s="44">
        <f t="shared" si="8"/>
        <v>46414.705882352944</v>
      </c>
      <c r="R15" s="30">
        <f t="shared" si="8"/>
        <v>0</v>
      </c>
      <c r="S15" s="44">
        <f t="shared" si="8"/>
        <v>46414.705882352944</v>
      </c>
      <c r="T15" s="30">
        <f t="shared" si="8"/>
        <v>0</v>
      </c>
      <c r="U15" s="44">
        <f t="shared" si="8"/>
        <v>46414.705882352944</v>
      </c>
      <c r="V15" s="30">
        <f t="shared" si="8"/>
        <v>0</v>
      </c>
      <c r="W15" s="44">
        <f t="shared" si="8"/>
        <v>46414.705882352944</v>
      </c>
      <c r="X15" s="30">
        <f t="shared" si="8"/>
        <v>0</v>
      </c>
      <c r="Y15" s="44">
        <f t="shared" si="8"/>
        <v>74263.529411764699</v>
      </c>
      <c r="Z15" s="30">
        <f t="shared" si="8"/>
        <v>0</v>
      </c>
      <c r="AA15" s="44">
        <f t="shared" si="8"/>
        <v>552335</v>
      </c>
      <c r="AB15" s="31">
        <f t="shared" si="1"/>
        <v>0.92829411764705883</v>
      </c>
      <c r="AC15" s="30">
        <f>AC9-AC10</f>
        <v>0</v>
      </c>
      <c r="AD15" s="33">
        <f t="shared" si="3"/>
        <v>0</v>
      </c>
    </row>
    <row r="16" spans="1:31" ht="14.4" x14ac:dyDescent="0.3">
      <c r="A16" s="34" t="s">
        <v>273</v>
      </c>
      <c r="B16" s="35">
        <f>SUM(B18:B21)</f>
        <v>0.4</v>
      </c>
      <c r="C16" s="45">
        <f t="shared" ref="C16:Z16" si="9">C17+C21</f>
        <v>16000</v>
      </c>
      <c r="D16" s="325">
        <f t="shared" si="9"/>
        <v>0</v>
      </c>
      <c r="E16" s="45">
        <f t="shared" si="9"/>
        <v>18000</v>
      </c>
      <c r="F16" s="37">
        <f t="shared" si="9"/>
        <v>0</v>
      </c>
      <c r="G16" s="45">
        <f t="shared" si="9"/>
        <v>20000</v>
      </c>
      <c r="H16" s="37">
        <f t="shared" si="9"/>
        <v>0</v>
      </c>
      <c r="I16" s="45">
        <f t="shared" si="9"/>
        <v>20000</v>
      </c>
      <c r="J16" s="37">
        <f t="shared" si="9"/>
        <v>0</v>
      </c>
      <c r="K16" s="45">
        <f t="shared" si="9"/>
        <v>20000</v>
      </c>
      <c r="L16" s="37">
        <f t="shared" si="9"/>
        <v>0</v>
      </c>
      <c r="M16" s="45">
        <f t="shared" si="9"/>
        <v>16000</v>
      </c>
      <c r="N16" s="37">
        <f t="shared" si="9"/>
        <v>0</v>
      </c>
      <c r="O16" s="45">
        <f t="shared" si="9"/>
        <v>16000</v>
      </c>
      <c r="P16" s="37">
        <f t="shared" si="9"/>
        <v>0</v>
      </c>
      <c r="Q16" s="45">
        <f t="shared" si="9"/>
        <v>20000</v>
      </c>
      <c r="R16" s="37">
        <f t="shared" si="9"/>
        <v>0</v>
      </c>
      <c r="S16" s="45">
        <f t="shared" si="9"/>
        <v>20000</v>
      </c>
      <c r="T16" s="37">
        <f t="shared" si="9"/>
        <v>0</v>
      </c>
      <c r="U16" s="45">
        <f t="shared" si="9"/>
        <v>20000</v>
      </c>
      <c r="V16" s="37">
        <f t="shared" si="9"/>
        <v>0</v>
      </c>
      <c r="W16" s="45">
        <f t="shared" si="9"/>
        <v>20000</v>
      </c>
      <c r="X16" s="37">
        <f t="shared" si="9"/>
        <v>0</v>
      </c>
      <c r="Y16" s="45">
        <f t="shared" si="9"/>
        <v>32000</v>
      </c>
      <c r="Z16" s="37">
        <f t="shared" si="9"/>
        <v>0</v>
      </c>
      <c r="AA16" s="41">
        <f>SUM(AA18:AA21)</f>
        <v>238000</v>
      </c>
      <c r="AB16" s="38">
        <f t="shared" si="1"/>
        <v>0.4</v>
      </c>
      <c r="AC16" s="46">
        <f>SUM(AC18:AC21)</f>
        <v>0</v>
      </c>
      <c r="AD16" s="33">
        <f t="shared" si="3"/>
        <v>0</v>
      </c>
      <c r="AE16" s="312">
        <f>+AA16/AA7</f>
        <v>4</v>
      </c>
    </row>
    <row r="17" spans="1:31" ht="14.4" x14ac:dyDescent="0.3">
      <c r="A17" s="172" t="s">
        <v>274</v>
      </c>
      <c r="B17" s="173" t="s">
        <v>0</v>
      </c>
      <c r="C17" s="174">
        <f t="shared" ref="C17:AC17" si="10">SUM(C18:C20)</f>
        <v>16000</v>
      </c>
      <c r="D17" s="327">
        <f t="shared" si="10"/>
        <v>0</v>
      </c>
      <c r="E17" s="174">
        <f t="shared" si="10"/>
        <v>18000</v>
      </c>
      <c r="F17" s="175">
        <f t="shared" si="10"/>
        <v>0</v>
      </c>
      <c r="G17" s="174">
        <f t="shared" si="10"/>
        <v>20000</v>
      </c>
      <c r="H17" s="175">
        <f t="shared" si="10"/>
        <v>0</v>
      </c>
      <c r="I17" s="174">
        <f t="shared" si="10"/>
        <v>20000</v>
      </c>
      <c r="J17" s="175">
        <f t="shared" si="10"/>
        <v>0</v>
      </c>
      <c r="K17" s="174">
        <f t="shared" si="10"/>
        <v>20000</v>
      </c>
      <c r="L17" s="175">
        <f t="shared" si="10"/>
        <v>0</v>
      </c>
      <c r="M17" s="174">
        <f t="shared" si="10"/>
        <v>16000</v>
      </c>
      <c r="N17" s="175">
        <f t="shared" si="10"/>
        <v>0</v>
      </c>
      <c r="O17" s="174">
        <f t="shared" si="10"/>
        <v>16000</v>
      </c>
      <c r="P17" s="175">
        <f t="shared" si="10"/>
        <v>0</v>
      </c>
      <c r="Q17" s="174">
        <f t="shared" si="10"/>
        <v>20000</v>
      </c>
      <c r="R17" s="175">
        <f t="shared" si="10"/>
        <v>0</v>
      </c>
      <c r="S17" s="174">
        <f t="shared" si="10"/>
        <v>20000</v>
      </c>
      <c r="T17" s="175">
        <f t="shared" si="10"/>
        <v>0</v>
      </c>
      <c r="U17" s="174">
        <f t="shared" si="10"/>
        <v>20000</v>
      </c>
      <c r="V17" s="175">
        <f t="shared" si="10"/>
        <v>0</v>
      </c>
      <c r="W17" s="174">
        <f t="shared" si="10"/>
        <v>20000</v>
      </c>
      <c r="X17" s="175">
        <f t="shared" si="10"/>
        <v>0</v>
      </c>
      <c r="Y17" s="174">
        <f t="shared" si="10"/>
        <v>32000</v>
      </c>
      <c r="Z17" s="175">
        <f t="shared" si="10"/>
        <v>0</v>
      </c>
      <c r="AA17" s="174">
        <f t="shared" si="10"/>
        <v>238000</v>
      </c>
      <c r="AB17" s="38">
        <f>IFERROR((AA17/$AA$9),0)</f>
        <v>0.4</v>
      </c>
      <c r="AC17" s="176">
        <f t="shared" si="10"/>
        <v>0</v>
      </c>
      <c r="AD17" s="33">
        <f t="shared" si="3"/>
        <v>0</v>
      </c>
      <c r="AE17" s="1"/>
    </row>
    <row r="18" spans="1:31" ht="14.4" x14ac:dyDescent="0.3">
      <c r="A18" s="50" t="s">
        <v>275</v>
      </c>
      <c r="B18" s="203">
        <v>0.4</v>
      </c>
      <c r="C18" s="213">
        <f>C9*$B$18</f>
        <v>16000</v>
      </c>
      <c r="D18" s="328">
        <f>D9*$B$18</f>
        <v>0</v>
      </c>
      <c r="E18" s="213">
        <f t="shared" ref="E18:V18" si="11">E9*$B$18</f>
        <v>18000</v>
      </c>
      <c r="F18" s="194">
        <f t="shared" si="11"/>
        <v>0</v>
      </c>
      <c r="G18" s="213">
        <f t="shared" si="11"/>
        <v>20000</v>
      </c>
      <c r="H18" s="194">
        <f t="shared" si="11"/>
        <v>0</v>
      </c>
      <c r="I18" s="213">
        <f t="shared" si="11"/>
        <v>20000</v>
      </c>
      <c r="J18" s="194">
        <f t="shared" si="11"/>
        <v>0</v>
      </c>
      <c r="K18" s="213">
        <f t="shared" si="11"/>
        <v>20000</v>
      </c>
      <c r="L18" s="194">
        <f t="shared" si="11"/>
        <v>0</v>
      </c>
      <c r="M18" s="213">
        <f t="shared" si="11"/>
        <v>16000</v>
      </c>
      <c r="N18" s="194">
        <f t="shared" si="11"/>
        <v>0</v>
      </c>
      <c r="O18" s="213">
        <f t="shared" si="11"/>
        <v>16000</v>
      </c>
      <c r="P18" s="194">
        <f t="shared" si="11"/>
        <v>0</v>
      </c>
      <c r="Q18" s="213">
        <f t="shared" si="11"/>
        <v>20000</v>
      </c>
      <c r="R18" s="194">
        <f t="shared" si="11"/>
        <v>0</v>
      </c>
      <c r="S18" s="213">
        <f t="shared" si="11"/>
        <v>20000</v>
      </c>
      <c r="T18" s="194">
        <f t="shared" si="11"/>
        <v>0</v>
      </c>
      <c r="U18" s="213">
        <f t="shared" si="11"/>
        <v>20000</v>
      </c>
      <c r="V18" s="194">
        <f t="shared" si="11"/>
        <v>0</v>
      </c>
      <c r="W18" s="213">
        <f>W9*$B$18</f>
        <v>20000</v>
      </c>
      <c r="X18" s="194">
        <f>X9*$B$18</f>
        <v>0</v>
      </c>
      <c r="Y18" s="213">
        <f>Y9*$B$18</f>
        <v>32000</v>
      </c>
      <c r="Z18" s="194">
        <f>Z9*$B$18</f>
        <v>0</v>
      </c>
      <c r="AA18" s="47">
        <f>C18+E18+G18+I18+K18+M18+O18+Q18+S18+U18+W18+Y18</f>
        <v>238000</v>
      </c>
      <c r="AB18" s="48">
        <f t="shared" si="1"/>
        <v>0.4</v>
      </c>
      <c r="AC18" s="49">
        <f>D18+F18+H18+J18+L18+N18+P18+R18+T18+V18+X18+Z18</f>
        <v>0</v>
      </c>
      <c r="AD18" s="33">
        <f t="shared" si="3"/>
        <v>0</v>
      </c>
      <c r="AE18" s="1"/>
    </row>
    <row r="19" spans="1:31" ht="14.4" x14ac:dyDescent="0.3">
      <c r="A19" s="50" t="str">
        <f>Parametrização!B4</f>
        <v>Salários Diretos</v>
      </c>
      <c r="B19" s="171">
        <v>0</v>
      </c>
      <c r="C19" s="204">
        <v>0</v>
      </c>
      <c r="D19" s="323">
        <v>0</v>
      </c>
      <c r="E19" s="204">
        <v>0</v>
      </c>
      <c r="F19" s="208">
        <v>0</v>
      </c>
      <c r="G19" s="204">
        <v>0</v>
      </c>
      <c r="H19" s="208">
        <v>0</v>
      </c>
      <c r="I19" s="204">
        <v>0</v>
      </c>
      <c r="J19" s="208">
        <v>0</v>
      </c>
      <c r="K19" s="204">
        <v>0</v>
      </c>
      <c r="L19" s="208">
        <v>0</v>
      </c>
      <c r="M19" s="204">
        <v>0</v>
      </c>
      <c r="N19" s="208">
        <v>0</v>
      </c>
      <c r="O19" s="204">
        <v>0</v>
      </c>
      <c r="P19" s="208">
        <v>0</v>
      </c>
      <c r="Q19" s="204">
        <v>0</v>
      </c>
      <c r="R19" s="208">
        <v>0</v>
      </c>
      <c r="S19" s="204">
        <v>0</v>
      </c>
      <c r="T19" s="208">
        <v>0</v>
      </c>
      <c r="U19" s="204">
        <v>0</v>
      </c>
      <c r="V19" s="208">
        <v>0</v>
      </c>
      <c r="W19" s="204">
        <v>0</v>
      </c>
      <c r="X19" s="208">
        <v>0</v>
      </c>
      <c r="Y19" s="204">
        <v>0</v>
      </c>
      <c r="Z19" s="208">
        <v>0</v>
      </c>
      <c r="AA19" s="47">
        <f>C19+E19+G19+I19+K19+M19+O19+Q19+S19+U19+W19+Y19</f>
        <v>0</v>
      </c>
      <c r="AB19" s="48">
        <f t="shared" ref="AB19:AB29" si="12">IFERROR((AA19/$AA$9),0)</f>
        <v>0</v>
      </c>
      <c r="AC19" s="49">
        <f>D19+F19+H19+J19+L19+N19+P19+R19+T19+V19+X19+Z19</f>
        <v>0</v>
      </c>
      <c r="AD19" s="33">
        <f t="shared" si="3"/>
        <v>0</v>
      </c>
      <c r="AE19" s="1"/>
    </row>
    <row r="20" spans="1:31" ht="14.4" x14ac:dyDescent="0.3">
      <c r="A20" s="40" t="str">
        <f>Parametrização!$B$49</f>
        <v xml:space="preserve">Encargos Sociais </v>
      </c>
      <c r="B20" s="205">
        <v>0</v>
      </c>
      <c r="C20" s="204">
        <f t="shared" ref="C20:Y20" si="13">(C$19)*$B$20</f>
        <v>0</v>
      </c>
      <c r="D20" s="323">
        <f>+D19*B20</f>
        <v>0</v>
      </c>
      <c r="E20" s="204">
        <f t="shared" si="13"/>
        <v>0</v>
      </c>
      <c r="F20" s="208">
        <v>0</v>
      </c>
      <c r="G20" s="204">
        <f t="shared" si="13"/>
        <v>0</v>
      </c>
      <c r="H20" s="208">
        <v>0</v>
      </c>
      <c r="I20" s="204">
        <f t="shared" si="13"/>
        <v>0</v>
      </c>
      <c r="J20" s="208">
        <v>0</v>
      </c>
      <c r="K20" s="204">
        <f t="shared" si="13"/>
        <v>0</v>
      </c>
      <c r="L20" s="208">
        <v>0</v>
      </c>
      <c r="M20" s="204">
        <f t="shared" si="13"/>
        <v>0</v>
      </c>
      <c r="N20" s="208">
        <v>0</v>
      </c>
      <c r="O20" s="204">
        <f t="shared" si="13"/>
        <v>0</v>
      </c>
      <c r="P20" s="208">
        <v>0</v>
      </c>
      <c r="Q20" s="204">
        <f t="shared" si="13"/>
        <v>0</v>
      </c>
      <c r="R20" s="208">
        <v>0</v>
      </c>
      <c r="S20" s="204">
        <f t="shared" si="13"/>
        <v>0</v>
      </c>
      <c r="T20" s="208">
        <v>0</v>
      </c>
      <c r="U20" s="204">
        <f t="shared" si="13"/>
        <v>0</v>
      </c>
      <c r="V20" s="208">
        <v>0</v>
      </c>
      <c r="W20" s="204">
        <f t="shared" si="13"/>
        <v>0</v>
      </c>
      <c r="X20" s="208">
        <v>0</v>
      </c>
      <c r="Y20" s="204">
        <f t="shared" si="13"/>
        <v>0</v>
      </c>
      <c r="Z20" s="208">
        <v>0</v>
      </c>
      <c r="AA20" s="47">
        <f>C20+E20+G20+I20+K20+M20+O20+Q20+S20+U20+W20+Y20</f>
        <v>0</v>
      </c>
      <c r="AB20" s="48">
        <f t="shared" si="12"/>
        <v>0</v>
      </c>
      <c r="AC20" s="49">
        <f>D20+F20+H20+J20+L20+N20+P20+R20+T20+V20+X20+Z20</f>
        <v>0</v>
      </c>
      <c r="AD20" s="33">
        <f t="shared" si="3"/>
        <v>0</v>
      </c>
      <c r="AE20" s="1"/>
    </row>
    <row r="21" spans="1:31" ht="14.4" x14ac:dyDescent="0.3">
      <c r="A21" s="172" t="s">
        <v>276</v>
      </c>
      <c r="B21" s="173" t="s">
        <v>0</v>
      </c>
      <c r="C21" s="174">
        <f t="shared" ref="C21:AC21" si="14">SUM(C22:C29)</f>
        <v>0</v>
      </c>
      <c r="D21" s="327">
        <f t="shared" si="14"/>
        <v>0</v>
      </c>
      <c r="E21" s="174">
        <f t="shared" si="14"/>
        <v>0</v>
      </c>
      <c r="F21" s="175">
        <f t="shared" si="14"/>
        <v>0</v>
      </c>
      <c r="G21" s="174">
        <f t="shared" si="14"/>
        <v>0</v>
      </c>
      <c r="H21" s="175">
        <f t="shared" si="14"/>
        <v>0</v>
      </c>
      <c r="I21" s="174">
        <f t="shared" si="14"/>
        <v>0</v>
      </c>
      <c r="J21" s="175">
        <f t="shared" si="14"/>
        <v>0</v>
      </c>
      <c r="K21" s="174">
        <f t="shared" si="14"/>
        <v>0</v>
      </c>
      <c r="L21" s="175">
        <f t="shared" si="14"/>
        <v>0</v>
      </c>
      <c r="M21" s="174">
        <f t="shared" si="14"/>
        <v>0</v>
      </c>
      <c r="N21" s="175">
        <f t="shared" si="14"/>
        <v>0</v>
      </c>
      <c r="O21" s="174">
        <f t="shared" si="14"/>
        <v>0</v>
      </c>
      <c r="P21" s="175">
        <f t="shared" si="14"/>
        <v>0</v>
      </c>
      <c r="Q21" s="174">
        <f t="shared" si="14"/>
        <v>0</v>
      </c>
      <c r="R21" s="175">
        <f t="shared" si="14"/>
        <v>0</v>
      </c>
      <c r="S21" s="174">
        <f t="shared" si="14"/>
        <v>0</v>
      </c>
      <c r="T21" s="175">
        <f t="shared" si="14"/>
        <v>0</v>
      </c>
      <c r="U21" s="174">
        <f t="shared" si="14"/>
        <v>0</v>
      </c>
      <c r="V21" s="175">
        <f t="shared" si="14"/>
        <v>0</v>
      </c>
      <c r="W21" s="174">
        <f t="shared" si="14"/>
        <v>0</v>
      </c>
      <c r="X21" s="175">
        <f t="shared" si="14"/>
        <v>0</v>
      </c>
      <c r="Y21" s="174">
        <f t="shared" si="14"/>
        <v>0</v>
      </c>
      <c r="Z21" s="175">
        <f t="shared" si="14"/>
        <v>0</v>
      </c>
      <c r="AA21" s="174">
        <f t="shared" si="14"/>
        <v>0</v>
      </c>
      <c r="AB21" s="38">
        <f>IFERROR((AA21/$AA$9),0)</f>
        <v>0</v>
      </c>
      <c r="AC21" s="176">
        <f t="shared" si="14"/>
        <v>0</v>
      </c>
      <c r="AD21" s="33">
        <f t="shared" si="3"/>
        <v>0</v>
      </c>
      <c r="AE21" s="1"/>
    </row>
    <row r="22" spans="1:31" ht="14.4" outlineLevel="1" x14ac:dyDescent="0.3">
      <c r="A22" s="40" t="str">
        <f>Parametrização!$B$5</f>
        <v>Salários Indiretos</v>
      </c>
      <c r="B22" s="48" t="s">
        <v>0</v>
      </c>
      <c r="C22" s="204">
        <v>0</v>
      </c>
      <c r="D22" s="323">
        <v>0</v>
      </c>
      <c r="E22" s="204">
        <v>0</v>
      </c>
      <c r="F22" s="208">
        <v>0</v>
      </c>
      <c r="G22" s="204">
        <v>0</v>
      </c>
      <c r="H22" s="208">
        <v>0</v>
      </c>
      <c r="I22" s="204">
        <v>0</v>
      </c>
      <c r="J22" s="208">
        <v>0</v>
      </c>
      <c r="K22" s="204">
        <v>0</v>
      </c>
      <c r="L22" s="208">
        <v>0</v>
      </c>
      <c r="M22" s="204">
        <v>0</v>
      </c>
      <c r="N22" s="208">
        <v>0</v>
      </c>
      <c r="O22" s="204">
        <v>0</v>
      </c>
      <c r="P22" s="208">
        <v>0</v>
      </c>
      <c r="Q22" s="204">
        <v>0</v>
      </c>
      <c r="R22" s="208">
        <v>0</v>
      </c>
      <c r="S22" s="204">
        <v>0</v>
      </c>
      <c r="T22" s="208">
        <v>0</v>
      </c>
      <c r="U22" s="204">
        <v>0</v>
      </c>
      <c r="V22" s="208">
        <v>0</v>
      </c>
      <c r="W22" s="204">
        <v>0</v>
      </c>
      <c r="X22" s="208">
        <v>0</v>
      </c>
      <c r="Y22" s="204">
        <v>0</v>
      </c>
      <c r="Z22" s="208">
        <v>0</v>
      </c>
      <c r="AA22" s="47">
        <f t="shared" ref="AA22:AA29" si="15">C22+E22+G22+I22+K22+M22+O22+Q22+S22+U22+W22+Y22</f>
        <v>0</v>
      </c>
      <c r="AB22" s="48">
        <f t="shared" si="12"/>
        <v>0</v>
      </c>
      <c r="AC22" s="49">
        <f t="shared" ref="AC22:AC29" si="16">D22+F22+H22+J22+L22+N22+P22+R22+T22+V22+X22+Z22</f>
        <v>0</v>
      </c>
      <c r="AD22" s="33">
        <f t="shared" si="3"/>
        <v>0</v>
      </c>
      <c r="AE22" s="1"/>
    </row>
    <row r="23" spans="1:31" ht="14.4" outlineLevel="1" x14ac:dyDescent="0.3">
      <c r="A23" s="40" t="str">
        <f>Parametrização!$B$49</f>
        <v xml:space="preserve">Encargos Sociais </v>
      </c>
      <c r="B23" s="205">
        <v>0</v>
      </c>
      <c r="C23" s="204">
        <f t="shared" ref="C23:Z23" si="17">(C$22)*$B$23</f>
        <v>0</v>
      </c>
      <c r="D23" s="329">
        <f t="shared" si="17"/>
        <v>0</v>
      </c>
      <c r="E23" s="204">
        <f t="shared" si="17"/>
        <v>0</v>
      </c>
      <c r="F23" s="209">
        <f t="shared" si="17"/>
        <v>0</v>
      </c>
      <c r="G23" s="204">
        <f t="shared" si="17"/>
        <v>0</v>
      </c>
      <c r="H23" s="209">
        <f t="shared" si="17"/>
        <v>0</v>
      </c>
      <c r="I23" s="204">
        <f t="shared" si="17"/>
        <v>0</v>
      </c>
      <c r="J23" s="209">
        <f t="shared" si="17"/>
        <v>0</v>
      </c>
      <c r="K23" s="204">
        <f t="shared" si="17"/>
        <v>0</v>
      </c>
      <c r="L23" s="209">
        <f t="shared" si="17"/>
        <v>0</v>
      </c>
      <c r="M23" s="204">
        <f t="shared" si="17"/>
        <v>0</v>
      </c>
      <c r="N23" s="209">
        <f t="shared" si="17"/>
        <v>0</v>
      </c>
      <c r="O23" s="204">
        <f t="shared" si="17"/>
        <v>0</v>
      </c>
      <c r="P23" s="209">
        <f t="shared" si="17"/>
        <v>0</v>
      </c>
      <c r="Q23" s="204">
        <f t="shared" si="17"/>
        <v>0</v>
      </c>
      <c r="R23" s="209">
        <f t="shared" si="17"/>
        <v>0</v>
      </c>
      <c r="S23" s="204">
        <f t="shared" si="17"/>
        <v>0</v>
      </c>
      <c r="T23" s="209">
        <f t="shared" si="17"/>
        <v>0</v>
      </c>
      <c r="U23" s="204">
        <f t="shared" si="17"/>
        <v>0</v>
      </c>
      <c r="V23" s="209">
        <f t="shared" si="17"/>
        <v>0</v>
      </c>
      <c r="W23" s="204">
        <f t="shared" si="17"/>
        <v>0</v>
      </c>
      <c r="X23" s="209">
        <f t="shared" si="17"/>
        <v>0</v>
      </c>
      <c r="Y23" s="204">
        <f t="shared" si="17"/>
        <v>0</v>
      </c>
      <c r="Z23" s="209">
        <f t="shared" si="17"/>
        <v>0</v>
      </c>
      <c r="AA23" s="47">
        <f>C23+E23+G23+I23+K23+M23+O23+Q23+S23+U23+W23+Y23</f>
        <v>0</v>
      </c>
      <c r="AB23" s="48">
        <f t="shared" si="12"/>
        <v>0</v>
      </c>
      <c r="AC23" s="49">
        <f>D23+F23+H23+J23+L23+N23+P23+R23+T23+V23+X23+Z23</f>
        <v>0</v>
      </c>
      <c r="AD23" s="33">
        <f t="shared" si="3"/>
        <v>0</v>
      </c>
      <c r="AE23" s="1"/>
    </row>
    <row r="24" spans="1:31" ht="14.4" outlineLevel="1" x14ac:dyDescent="0.3">
      <c r="A24" s="40" t="str">
        <f>Parametrização!$B$22</f>
        <v>Combustível</v>
      </c>
      <c r="B24" s="48"/>
      <c r="C24" s="204">
        <v>0</v>
      </c>
      <c r="D24" s="330">
        <v>0</v>
      </c>
      <c r="E24" s="204">
        <v>0</v>
      </c>
      <c r="F24" s="204">
        <v>0</v>
      </c>
      <c r="G24" s="204">
        <v>0</v>
      </c>
      <c r="H24" s="204">
        <v>0</v>
      </c>
      <c r="I24" s="204">
        <v>0</v>
      </c>
      <c r="J24" s="204">
        <v>0</v>
      </c>
      <c r="K24" s="204">
        <v>0</v>
      </c>
      <c r="L24" s="204">
        <v>0</v>
      </c>
      <c r="M24" s="204">
        <v>0</v>
      </c>
      <c r="N24" s="204">
        <v>0</v>
      </c>
      <c r="O24" s="204">
        <v>0</v>
      </c>
      <c r="P24" s="204">
        <v>0</v>
      </c>
      <c r="Q24" s="204">
        <v>0</v>
      </c>
      <c r="R24" s="204">
        <v>0</v>
      </c>
      <c r="S24" s="204">
        <v>0</v>
      </c>
      <c r="T24" s="204">
        <v>0</v>
      </c>
      <c r="U24" s="204">
        <v>0</v>
      </c>
      <c r="V24" s="204">
        <v>0</v>
      </c>
      <c r="W24" s="204">
        <v>0</v>
      </c>
      <c r="X24" s="204">
        <v>0</v>
      </c>
      <c r="Y24" s="204">
        <v>0</v>
      </c>
      <c r="Z24" s="204">
        <v>0</v>
      </c>
      <c r="AA24" s="47">
        <f t="shared" si="15"/>
        <v>0</v>
      </c>
      <c r="AB24" s="48">
        <f t="shared" si="12"/>
        <v>0</v>
      </c>
      <c r="AC24" s="49">
        <f t="shared" si="16"/>
        <v>0</v>
      </c>
      <c r="AD24" s="33">
        <f t="shared" si="3"/>
        <v>0</v>
      </c>
      <c r="AE24" s="1"/>
    </row>
    <row r="25" spans="1:31" ht="14.4" outlineLevel="1" x14ac:dyDescent="0.3">
      <c r="A25" s="40" t="str">
        <f>Parametrização!$B$32</f>
        <v>Manutenção de Máquinas e Equipamentos</v>
      </c>
      <c r="B25" s="53"/>
      <c r="C25" s="204">
        <v>0</v>
      </c>
      <c r="D25" s="330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</v>
      </c>
      <c r="U25" s="204">
        <v>0</v>
      </c>
      <c r="V25" s="204">
        <v>0</v>
      </c>
      <c r="W25" s="204">
        <v>0</v>
      </c>
      <c r="X25" s="204">
        <v>0</v>
      </c>
      <c r="Y25" s="204">
        <v>0</v>
      </c>
      <c r="Z25" s="204">
        <v>0</v>
      </c>
      <c r="AA25" s="47">
        <f t="shared" si="15"/>
        <v>0</v>
      </c>
      <c r="AB25" s="48">
        <f t="shared" si="12"/>
        <v>0</v>
      </c>
      <c r="AC25" s="49">
        <f t="shared" si="16"/>
        <v>0</v>
      </c>
      <c r="AD25" s="33">
        <f t="shared" si="3"/>
        <v>0</v>
      </c>
      <c r="AE25" s="54"/>
    </row>
    <row r="26" spans="1:31" ht="14.4" outlineLevel="1" x14ac:dyDescent="0.3">
      <c r="A26" s="40" t="str">
        <f>Parametrização!$B$33</f>
        <v>Manutenção de Materiais Diversos</v>
      </c>
      <c r="B26" s="53"/>
      <c r="C26" s="204">
        <v>0</v>
      </c>
      <c r="D26" s="330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Z26" s="204">
        <v>0</v>
      </c>
      <c r="AA26" s="47">
        <f t="shared" si="15"/>
        <v>0</v>
      </c>
      <c r="AB26" s="48">
        <f t="shared" si="12"/>
        <v>0</v>
      </c>
      <c r="AC26" s="49">
        <f t="shared" si="16"/>
        <v>0</v>
      </c>
      <c r="AD26" s="33">
        <f t="shared" si="3"/>
        <v>0</v>
      </c>
      <c r="AE26" s="54"/>
    </row>
    <row r="27" spans="1:31" ht="14.4" outlineLevel="1" x14ac:dyDescent="0.3">
      <c r="A27" s="40" t="str">
        <f>Parametrização!$B$34</f>
        <v>Manutenção de Veículos</v>
      </c>
      <c r="B27" s="53"/>
      <c r="C27" s="204">
        <v>0</v>
      </c>
      <c r="D27" s="330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Z27" s="204">
        <v>0</v>
      </c>
      <c r="AA27" s="47">
        <f t="shared" si="15"/>
        <v>0</v>
      </c>
      <c r="AB27" s="48">
        <f t="shared" si="12"/>
        <v>0</v>
      </c>
      <c r="AC27" s="49">
        <f t="shared" si="16"/>
        <v>0</v>
      </c>
      <c r="AD27" s="33">
        <f t="shared" si="3"/>
        <v>0</v>
      </c>
      <c r="AE27" s="54"/>
    </row>
    <row r="28" spans="1:31" ht="14.4" outlineLevel="1" x14ac:dyDescent="0.3">
      <c r="A28" s="40" t="str">
        <f>Parametrização!$B$35</f>
        <v>Manutenção e Conservação</v>
      </c>
      <c r="B28" s="53"/>
      <c r="C28" s="204">
        <v>0</v>
      </c>
      <c r="D28" s="330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Z28" s="204">
        <v>0</v>
      </c>
      <c r="AA28" s="47">
        <f t="shared" si="15"/>
        <v>0</v>
      </c>
      <c r="AB28" s="48">
        <f t="shared" si="12"/>
        <v>0</v>
      </c>
      <c r="AC28" s="49">
        <f t="shared" si="16"/>
        <v>0</v>
      </c>
      <c r="AD28" s="33">
        <f t="shared" si="3"/>
        <v>0</v>
      </c>
      <c r="AE28" s="54"/>
    </row>
    <row r="29" spans="1:31" ht="14.4" outlineLevel="1" x14ac:dyDescent="0.3">
      <c r="A29" s="40" t="str">
        <f>Parametrização!$B$36</f>
        <v>Manutenção Elétrica</v>
      </c>
      <c r="B29" s="53"/>
      <c r="C29" s="204">
        <v>0</v>
      </c>
      <c r="D29" s="330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Z29" s="204">
        <v>0</v>
      </c>
      <c r="AA29" s="47">
        <f t="shared" si="15"/>
        <v>0</v>
      </c>
      <c r="AB29" s="48">
        <f t="shared" si="12"/>
        <v>0</v>
      </c>
      <c r="AC29" s="49">
        <f t="shared" si="16"/>
        <v>0</v>
      </c>
      <c r="AD29" s="33">
        <f t="shared" si="3"/>
        <v>0</v>
      </c>
      <c r="AE29" s="54"/>
    </row>
    <row r="30" spans="1:31" ht="14.4" x14ac:dyDescent="0.3">
      <c r="A30" s="27" t="s">
        <v>277</v>
      </c>
      <c r="B30" s="43"/>
      <c r="C30" s="44">
        <f>C15-C16</f>
        <v>21131.76470588235</v>
      </c>
      <c r="D30" s="326">
        <f>D15-D16</f>
        <v>0</v>
      </c>
      <c r="E30" s="44">
        <f t="shared" ref="E30:V30" si="18">E15-E16</f>
        <v>23773.23529411765</v>
      </c>
      <c r="F30" s="30">
        <f t="shared" si="18"/>
        <v>0</v>
      </c>
      <c r="G30" s="44">
        <f t="shared" si="18"/>
        <v>26414.705882352944</v>
      </c>
      <c r="H30" s="30">
        <f t="shared" si="18"/>
        <v>0</v>
      </c>
      <c r="I30" s="44">
        <f t="shared" si="18"/>
        <v>26414.705882352944</v>
      </c>
      <c r="J30" s="30">
        <f t="shared" si="18"/>
        <v>0</v>
      </c>
      <c r="K30" s="44">
        <f t="shared" si="18"/>
        <v>26414.705882352944</v>
      </c>
      <c r="L30" s="30">
        <f t="shared" si="18"/>
        <v>0</v>
      </c>
      <c r="M30" s="44">
        <f t="shared" si="18"/>
        <v>21131.76470588235</v>
      </c>
      <c r="N30" s="30">
        <f t="shared" si="18"/>
        <v>0</v>
      </c>
      <c r="O30" s="44">
        <f t="shared" si="18"/>
        <v>21131.76470588235</v>
      </c>
      <c r="P30" s="30">
        <f t="shared" si="18"/>
        <v>0</v>
      </c>
      <c r="Q30" s="44">
        <f t="shared" si="18"/>
        <v>26414.705882352944</v>
      </c>
      <c r="R30" s="30">
        <f t="shared" si="18"/>
        <v>0</v>
      </c>
      <c r="S30" s="44">
        <f t="shared" si="18"/>
        <v>26414.705882352944</v>
      </c>
      <c r="T30" s="30">
        <f t="shared" si="18"/>
        <v>0</v>
      </c>
      <c r="U30" s="44">
        <f t="shared" si="18"/>
        <v>26414.705882352944</v>
      </c>
      <c r="V30" s="30">
        <f t="shared" si="18"/>
        <v>0</v>
      </c>
      <c r="W30" s="44">
        <f>W15-W16</f>
        <v>26414.705882352944</v>
      </c>
      <c r="X30" s="30">
        <f>X15-X16</f>
        <v>0</v>
      </c>
      <c r="Y30" s="44">
        <f>Y15-Y16</f>
        <v>42263.529411764699</v>
      </c>
      <c r="Z30" s="30">
        <f>Z15-Z16</f>
        <v>0</v>
      </c>
      <c r="AA30" s="44">
        <f>AA15-AA16</f>
        <v>314335</v>
      </c>
      <c r="AB30" s="31">
        <f t="shared" ref="AB30:AB35" si="19">IFERROR((AA30/$AA$9),0)</f>
        <v>0.5282941176470588</v>
      </c>
      <c r="AC30" s="32">
        <f>AC15-AC16</f>
        <v>0</v>
      </c>
      <c r="AD30" s="33">
        <f t="shared" si="3"/>
        <v>0</v>
      </c>
    </row>
    <row r="31" spans="1:31" ht="14.4" x14ac:dyDescent="0.3">
      <c r="A31" s="27" t="s">
        <v>278</v>
      </c>
      <c r="B31" s="28">
        <f>SUM(B32:B33)</f>
        <v>0.08</v>
      </c>
      <c r="C31" s="214">
        <f>SUM(C32:C33)</f>
        <v>3200</v>
      </c>
      <c r="D31" s="326">
        <f>SUM(D32:D33)</f>
        <v>0</v>
      </c>
      <c r="E31" s="214">
        <f t="shared" ref="E31:V31" si="20">SUM(E32:E33)</f>
        <v>3600</v>
      </c>
      <c r="F31" s="30">
        <f t="shared" si="20"/>
        <v>0</v>
      </c>
      <c r="G31" s="214">
        <f t="shared" si="20"/>
        <v>4000</v>
      </c>
      <c r="H31" s="30">
        <f t="shared" si="20"/>
        <v>0</v>
      </c>
      <c r="I31" s="214">
        <f t="shared" si="20"/>
        <v>4000</v>
      </c>
      <c r="J31" s="30">
        <f t="shared" si="20"/>
        <v>0</v>
      </c>
      <c r="K31" s="214">
        <f t="shared" si="20"/>
        <v>4000</v>
      </c>
      <c r="L31" s="30">
        <f t="shared" si="20"/>
        <v>0</v>
      </c>
      <c r="M31" s="214">
        <f t="shared" si="20"/>
        <v>3200</v>
      </c>
      <c r="N31" s="30">
        <f t="shared" si="20"/>
        <v>0</v>
      </c>
      <c r="O31" s="214">
        <f t="shared" si="20"/>
        <v>3200</v>
      </c>
      <c r="P31" s="30">
        <f t="shared" si="20"/>
        <v>0</v>
      </c>
      <c r="Q31" s="214">
        <f t="shared" si="20"/>
        <v>4000</v>
      </c>
      <c r="R31" s="30">
        <f t="shared" si="20"/>
        <v>0</v>
      </c>
      <c r="S31" s="214">
        <f t="shared" si="20"/>
        <v>4000</v>
      </c>
      <c r="T31" s="30">
        <f t="shared" si="20"/>
        <v>0</v>
      </c>
      <c r="U31" s="214">
        <f t="shared" si="20"/>
        <v>4000</v>
      </c>
      <c r="V31" s="30">
        <f t="shared" si="20"/>
        <v>0</v>
      </c>
      <c r="W31" s="214">
        <f>SUM(W32:W33)</f>
        <v>4000</v>
      </c>
      <c r="X31" s="30">
        <f>SUM(X32:X33)</f>
        <v>0</v>
      </c>
      <c r="Y31" s="214">
        <f>SUM(Y32:Y33)</f>
        <v>6400</v>
      </c>
      <c r="Z31" s="30">
        <f>SUM(Z32:Z33)</f>
        <v>0</v>
      </c>
      <c r="AA31" s="44">
        <f>SUM(AA32:AA33)</f>
        <v>47600</v>
      </c>
      <c r="AB31" s="31">
        <f t="shared" si="19"/>
        <v>0.08</v>
      </c>
      <c r="AC31" s="32">
        <f>SUM(AC32:AC33)</f>
        <v>0</v>
      </c>
      <c r="AD31" s="33">
        <f t="shared" si="3"/>
        <v>0</v>
      </c>
      <c r="AE31" s="477">
        <f>+AA31/AA9</f>
        <v>0.08</v>
      </c>
    </row>
    <row r="32" spans="1:31" ht="14.4" x14ac:dyDescent="0.3">
      <c r="A32" s="40" t="str">
        <f>Parametrização!B47</f>
        <v>Comissão</v>
      </c>
      <c r="B32" s="203">
        <v>0.05</v>
      </c>
      <c r="C32" s="47">
        <f>C9*$B$32</f>
        <v>2000</v>
      </c>
      <c r="D32" s="331">
        <f>D9*$B$32</f>
        <v>0</v>
      </c>
      <c r="E32" s="47">
        <f t="shared" ref="E32:V32" si="21">E9*$B$32</f>
        <v>2250</v>
      </c>
      <c r="F32" s="42">
        <f t="shared" si="21"/>
        <v>0</v>
      </c>
      <c r="G32" s="47">
        <f t="shared" si="21"/>
        <v>2500</v>
      </c>
      <c r="H32" s="42">
        <f t="shared" si="21"/>
        <v>0</v>
      </c>
      <c r="I32" s="47">
        <f t="shared" si="21"/>
        <v>2500</v>
      </c>
      <c r="J32" s="42">
        <f t="shared" si="21"/>
        <v>0</v>
      </c>
      <c r="K32" s="47">
        <f t="shared" si="21"/>
        <v>2500</v>
      </c>
      <c r="L32" s="42">
        <f t="shared" si="21"/>
        <v>0</v>
      </c>
      <c r="M32" s="47">
        <f t="shared" si="21"/>
        <v>2000</v>
      </c>
      <c r="N32" s="42">
        <f t="shared" si="21"/>
        <v>0</v>
      </c>
      <c r="O32" s="47">
        <f t="shared" si="21"/>
        <v>2000</v>
      </c>
      <c r="P32" s="42">
        <f t="shared" si="21"/>
        <v>0</v>
      </c>
      <c r="Q32" s="47">
        <f t="shared" si="21"/>
        <v>2500</v>
      </c>
      <c r="R32" s="42">
        <f t="shared" si="21"/>
        <v>0</v>
      </c>
      <c r="S32" s="47">
        <f t="shared" si="21"/>
        <v>2500</v>
      </c>
      <c r="T32" s="42">
        <f t="shared" si="21"/>
        <v>0</v>
      </c>
      <c r="U32" s="47">
        <f t="shared" si="21"/>
        <v>2500</v>
      </c>
      <c r="V32" s="42">
        <f t="shared" si="21"/>
        <v>0</v>
      </c>
      <c r="W32" s="47">
        <f>W9*$B$32</f>
        <v>2500</v>
      </c>
      <c r="X32" s="42">
        <f>X9*$B$32</f>
        <v>0</v>
      </c>
      <c r="Y32" s="47">
        <f>Y9*$B$32</f>
        <v>4000</v>
      </c>
      <c r="Z32" s="42">
        <f>Z9*$B$32</f>
        <v>0</v>
      </c>
      <c r="AA32" s="47">
        <f>C32+E32+G32+I32+K32+M32+O32+Q32+S32+U32+W32+Y32</f>
        <v>29750</v>
      </c>
      <c r="AB32" s="48">
        <f t="shared" si="19"/>
        <v>0.05</v>
      </c>
      <c r="AC32" s="49">
        <f>D32+F32+H32+J32+L32+N32+P32+R32+T32+V32+X32+Z32</f>
        <v>0</v>
      </c>
      <c r="AD32" s="33">
        <f t="shared" si="3"/>
        <v>0</v>
      </c>
    </row>
    <row r="33" spans="1:31" ht="14.4" x14ac:dyDescent="0.3">
      <c r="A33" s="40" t="str">
        <f>Parametrização!B48</f>
        <v>Cartão de Crédito</v>
      </c>
      <c r="B33" s="203">
        <v>0.03</v>
      </c>
      <c r="C33" s="47">
        <f>C9*$B$33</f>
        <v>1200</v>
      </c>
      <c r="D33" s="331">
        <f>D9*0.2*$B$33</f>
        <v>0</v>
      </c>
      <c r="E33" s="47">
        <f>E9*$B$33</f>
        <v>1350</v>
      </c>
      <c r="F33" s="42">
        <f t="shared" ref="F33:V33" si="22">F9*$B$33</f>
        <v>0</v>
      </c>
      <c r="G33" s="47">
        <f>G9*$B$33</f>
        <v>1500</v>
      </c>
      <c r="H33" s="42">
        <f t="shared" si="22"/>
        <v>0</v>
      </c>
      <c r="I33" s="47">
        <f>I9*$B$33</f>
        <v>1500</v>
      </c>
      <c r="J33" s="42">
        <f t="shared" si="22"/>
        <v>0</v>
      </c>
      <c r="K33" s="47">
        <f>K9*$B$33</f>
        <v>1500</v>
      </c>
      <c r="L33" s="42">
        <f t="shared" si="22"/>
        <v>0</v>
      </c>
      <c r="M33" s="47">
        <f>M9*$B$33</f>
        <v>1200</v>
      </c>
      <c r="N33" s="42">
        <f t="shared" si="22"/>
        <v>0</v>
      </c>
      <c r="O33" s="47">
        <f>O9*$B$33</f>
        <v>1200</v>
      </c>
      <c r="P33" s="42">
        <f t="shared" si="22"/>
        <v>0</v>
      </c>
      <c r="Q33" s="47">
        <f>Q9*$B$33</f>
        <v>1500</v>
      </c>
      <c r="R33" s="42">
        <f t="shared" si="22"/>
        <v>0</v>
      </c>
      <c r="S33" s="47">
        <f>S9*$B$33</f>
        <v>1500</v>
      </c>
      <c r="T33" s="42">
        <f t="shared" si="22"/>
        <v>0</v>
      </c>
      <c r="U33" s="47">
        <f>U9*$B$33</f>
        <v>1500</v>
      </c>
      <c r="V33" s="42">
        <f t="shared" si="22"/>
        <v>0</v>
      </c>
      <c r="W33" s="47">
        <f>W9*$B$33</f>
        <v>1500</v>
      </c>
      <c r="X33" s="42">
        <f>X9*$B$33</f>
        <v>0</v>
      </c>
      <c r="Y33" s="47">
        <f>Y9*$B$33</f>
        <v>2400</v>
      </c>
      <c r="Z33" s="42">
        <f>Z9*$B$33</f>
        <v>0</v>
      </c>
      <c r="AA33" s="47">
        <f>C33+E33+G33+I33+K33+M33+O33+Q33+S33+U33+W33+Y33</f>
        <v>17850</v>
      </c>
      <c r="AB33" s="48">
        <f t="shared" si="19"/>
        <v>0.03</v>
      </c>
      <c r="AC33" s="49">
        <f>D33+F33+H33+J33+L33+N33+P33+R33+T33+V33+X33+Z33</f>
        <v>0</v>
      </c>
      <c r="AD33" s="33">
        <f t="shared" si="3"/>
        <v>0</v>
      </c>
    </row>
    <row r="34" spans="1:31" ht="14.4" x14ac:dyDescent="0.3">
      <c r="A34" s="27" t="s">
        <v>279</v>
      </c>
      <c r="B34" s="51"/>
      <c r="C34" s="44">
        <f>C30-C31</f>
        <v>17931.76470588235</v>
      </c>
      <c r="D34" s="326">
        <f>D30-D31</f>
        <v>0</v>
      </c>
      <c r="E34" s="44">
        <f t="shared" ref="E34:V34" si="23">E30-E31</f>
        <v>20173.23529411765</v>
      </c>
      <c r="F34" s="30">
        <f t="shared" si="23"/>
        <v>0</v>
      </c>
      <c r="G34" s="44">
        <f t="shared" si="23"/>
        <v>22414.705882352944</v>
      </c>
      <c r="H34" s="30">
        <f t="shared" si="23"/>
        <v>0</v>
      </c>
      <c r="I34" s="44">
        <f t="shared" si="23"/>
        <v>22414.705882352944</v>
      </c>
      <c r="J34" s="30">
        <f t="shared" si="23"/>
        <v>0</v>
      </c>
      <c r="K34" s="44">
        <f t="shared" si="23"/>
        <v>22414.705882352944</v>
      </c>
      <c r="L34" s="30">
        <f t="shared" si="23"/>
        <v>0</v>
      </c>
      <c r="M34" s="44">
        <f t="shared" si="23"/>
        <v>17931.76470588235</v>
      </c>
      <c r="N34" s="30">
        <f t="shared" si="23"/>
        <v>0</v>
      </c>
      <c r="O34" s="44">
        <f t="shared" si="23"/>
        <v>17931.76470588235</v>
      </c>
      <c r="P34" s="30">
        <f t="shared" si="23"/>
        <v>0</v>
      </c>
      <c r="Q34" s="44">
        <f t="shared" si="23"/>
        <v>22414.705882352944</v>
      </c>
      <c r="R34" s="30">
        <f t="shared" si="23"/>
        <v>0</v>
      </c>
      <c r="S34" s="44">
        <f t="shared" si="23"/>
        <v>22414.705882352944</v>
      </c>
      <c r="T34" s="30">
        <f t="shared" si="23"/>
        <v>0</v>
      </c>
      <c r="U34" s="44">
        <f t="shared" si="23"/>
        <v>22414.705882352944</v>
      </c>
      <c r="V34" s="30">
        <f t="shared" si="23"/>
        <v>0</v>
      </c>
      <c r="W34" s="44">
        <f>W30-W31</f>
        <v>22414.705882352944</v>
      </c>
      <c r="X34" s="30">
        <f>X30-X31</f>
        <v>0</v>
      </c>
      <c r="Y34" s="44">
        <f>Y30-Y31</f>
        <v>35863.529411764699</v>
      </c>
      <c r="Z34" s="30">
        <f>Z30-Z31</f>
        <v>0</v>
      </c>
      <c r="AA34" s="44">
        <f>AA30-AA31</f>
        <v>266735</v>
      </c>
      <c r="AB34" s="31">
        <f t="shared" si="19"/>
        <v>0.44829411764705884</v>
      </c>
      <c r="AC34" s="30">
        <f>AC30-AC31</f>
        <v>0</v>
      </c>
      <c r="AD34" s="33">
        <f t="shared" si="3"/>
        <v>0</v>
      </c>
      <c r="AE34" s="52" t="s">
        <v>0</v>
      </c>
    </row>
    <row r="35" spans="1:31" ht="14.4" x14ac:dyDescent="0.3">
      <c r="A35" s="27" t="s">
        <v>280</v>
      </c>
      <c r="B35" s="51"/>
      <c r="C35" s="44">
        <f t="shared" ref="C35:AA35" si="24">SUM(C36+C63)</f>
        <v>22418.416000000001</v>
      </c>
      <c r="D35" s="326">
        <f t="shared" si="24"/>
        <v>0</v>
      </c>
      <c r="E35" s="44">
        <f t="shared" si="24"/>
        <v>22418.416000000001</v>
      </c>
      <c r="F35" s="30">
        <f t="shared" si="24"/>
        <v>0</v>
      </c>
      <c r="G35" s="44">
        <f t="shared" si="24"/>
        <v>22418.416000000001</v>
      </c>
      <c r="H35" s="30">
        <f t="shared" si="24"/>
        <v>0</v>
      </c>
      <c r="I35" s="44">
        <f t="shared" si="24"/>
        <v>22418.416000000001</v>
      </c>
      <c r="J35" s="30">
        <f t="shared" si="24"/>
        <v>0</v>
      </c>
      <c r="K35" s="44">
        <f t="shared" si="24"/>
        <v>22418.416000000001</v>
      </c>
      <c r="L35" s="30">
        <f t="shared" si="24"/>
        <v>0</v>
      </c>
      <c r="M35" s="44">
        <f t="shared" si="24"/>
        <v>22418.416000000001</v>
      </c>
      <c r="N35" s="30">
        <f t="shared" si="24"/>
        <v>0</v>
      </c>
      <c r="O35" s="44">
        <f t="shared" si="24"/>
        <v>22418.416000000001</v>
      </c>
      <c r="P35" s="30">
        <f t="shared" si="24"/>
        <v>0</v>
      </c>
      <c r="Q35" s="44">
        <f t="shared" si="24"/>
        <v>22418.416000000001</v>
      </c>
      <c r="R35" s="30">
        <f t="shared" si="24"/>
        <v>0</v>
      </c>
      <c r="S35" s="44">
        <f t="shared" si="24"/>
        <v>22418.416000000001</v>
      </c>
      <c r="T35" s="30">
        <f t="shared" si="24"/>
        <v>0</v>
      </c>
      <c r="U35" s="44">
        <f t="shared" si="24"/>
        <v>22418.416000000001</v>
      </c>
      <c r="V35" s="30">
        <f t="shared" si="24"/>
        <v>0</v>
      </c>
      <c r="W35" s="44">
        <f t="shared" si="24"/>
        <v>22418.416000000001</v>
      </c>
      <c r="X35" s="30">
        <f t="shared" si="24"/>
        <v>0</v>
      </c>
      <c r="Y35" s="44">
        <f t="shared" si="24"/>
        <v>22418.416000000001</v>
      </c>
      <c r="Z35" s="30">
        <f t="shared" si="24"/>
        <v>0</v>
      </c>
      <c r="AA35" s="44">
        <f t="shared" si="24"/>
        <v>269020.99199999997</v>
      </c>
      <c r="AB35" s="31">
        <f t="shared" si="19"/>
        <v>0.45213612100840334</v>
      </c>
      <c r="AC35" s="30">
        <f>SUM(AC36+AC63)</f>
        <v>0</v>
      </c>
      <c r="AD35" s="33">
        <f t="shared" si="3"/>
        <v>0</v>
      </c>
      <c r="AE35" s="187">
        <f>+AA35/AA9</f>
        <v>0.45213612100840334</v>
      </c>
    </row>
    <row r="36" spans="1:31" ht="14.4" x14ac:dyDescent="0.3">
      <c r="A36" s="50" t="s">
        <v>281</v>
      </c>
      <c r="B36" s="53"/>
      <c r="C36" s="177">
        <f t="shared" ref="C36:AA36" si="25">SUM(C37:C62)</f>
        <v>22418.416000000001</v>
      </c>
      <c r="D36" s="331">
        <f t="shared" si="25"/>
        <v>0</v>
      </c>
      <c r="E36" s="177">
        <f t="shared" ref="E36" si="26">SUM(E37:E62)</f>
        <v>22418.416000000001</v>
      </c>
      <c r="F36" s="42">
        <f t="shared" si="25"/>
        <v>0</v>
      </c>
      <c r="G36" s="177">
        <f t="shared" ref="G36" si="27">SUM(G37:G62)</f>
        <v>22418.416000000001</v>
      </c>
      <c r="H36" s="42">
        <f t="shared" si="25"/>
        <v>0</v>
      </c>
      <c r="I36" s="177">
        <f t="shared" ref="I36" si="28">SUM(I37:I62)</f>
        <v>22418.416000000001</v>
      </c>
      <c r="J36" s="42">
        <f t="shared" si="25"/>
        <v>0</v>
      </c>
      <c r="K36" s="177">
        <f t="shared" ref="K36" si="29">SUM(K37:K62)</f>
        <v>22418.416000000001</v>
      </c>
      <c r="L36" s="42">
        <f t="shared" si="25"/>
        <v>0</v>
      </c>
      <c r="M36" s="177">
        <f t="shared" ref="M36" si="30">SUM(M37:M62)</f>
        <v>22418.416000000001</v>
      </c>
      <c r="N36" s="42">
        <f t="shared" si="25"/>
        <v>0</v>
      </c>
      <c r="O36" s="177">
        <f t="shared" ref="O36" si="31">SUM(O37:O62)</f>
        <v>22418.416000000001</v>
      </c>
      <c r="P36" s="42">
        <f t="shared" si="25"/>
        <v>0</v>
      </c>
      <c r="Q36" s="177">
        <f t="shared" ref="Q36" si="32">SUM(Q37:Q62)</f>
        <v>22418.416000000001</v>
      </c>
      <c r="R36" s="42">
        <f t="shared" si="25"/>
        <v>0</v>
      </c>
      <c r="S36" s="177">
        <f t="shared" ref="S36" si="33">SUM(S37:S62)</f>
        <v>22418.416000000001</v>
      </c>
      <c r="T36" s="42">
        <f t="shared" si="25"/>
        <v>0</v>
      </c>
      <c r="U36" s="177">
        <f t="shared" ref="U36" si="34">SUM(U37:U62)</f>
        <v>22418.416000000001</v>
      </c>
      <c r="V36" s="42">
        <f t="shared" si="25"/>
        <v>0</v>
      </c>
      <c r="W36" s="177">
        <f t="shared" ref="W36" si="35">SUM(W37:W62)</f>
        <v>22418.416000000001</v>
      </c>
      <c r="X36" s="42">
        <f t="shared" si="25"/>
        <v>0</v>
      </c>
      <c r="Y36" s="177">
        <f t="shared" ref="Y36" si="36">SUM(Y37:Y62)</f>
        <v>22418.416000000001</v>
      </c>
      <c r="Z36" s="42">
        <f t="shared" si="25"/>
        <v>0</v>
      </c>
      <c r="AA36" s="47">
        <f t="shared" si="25"/>
        <v>269020.99199999997</v>
      </c>
      <c r="AB36" s="48">
        <f t="shared" ref="AB36:AB63" si="37">IFERROR((AA36/$AA$9),0)</f>
        <v>0.45213612100840334</v>
      </c>
      <c r="AC36" s="49">
        <f>SUM(AC37:AC62)</f>
        <v>0</v>
      </c>
      <c r="AD36" s="33">
        <f t="shared" si="3"/>
        <v>0</v>
      </c>
      <c r="AE36" s="54"/>
    </row>
    <row r="37" spans="1:31" ht="14.4" outlineLevel="1" x14ac:dyDescent="0.3">
      <c r="A37" s="40" t="str">
        <f>Parametrização!B3</f>
        <v>Ordenados e Salários</v>
      </c>
      <c r="B37" s="53"/>
      <c r="C37" s="204">
        <v>9280</v>
      </c>
      <c r="D37" s="323">
        <v>0</v>
      </c>
      <c r="E37" s="204">
        <v>9280</v>
      </c>
      <c r="F37" s="208">
        <v>0</v>
      </c>
      <c r="G37" s="204">
        <v>9280</v>
      </c>
      <c r="H37" s="208">
        <v>0</v>
      </c>
      <c r="I37" s="204">
        <v>9280</v>
      </c>
      <c r="J37" s="208">
        <v>0</v>
      </c>
      <c r="K37" s="204">
        <v>9280</v>
      </c>
      <c r="L37" s="208">
        <v>0</v>
      </c>
      <c r="M37" s="204">
        <v>9280</v>
      </c>
      <c r="N37" s="208">
        <v>0</v>
      </c>
      <c r="O37" s="204">
        <v>9280</v>
      </c>
      <c r="P37" s="208">
        <v>0</v>
      </c>
      <c r="Q37" s="204">
        <v>9280</v>
      </c>
      <c r="R37" s="208">
        <v>0</v>
      </c>
      <c r="S37" s="204">
        <v>9280</v>
      </c>
      <c r="T37" s="208">
        <v>0</v>
      </c>
      <c r="U37" s="204">
        <v>9280</v>
      </c>
      <c r="V37" s="208">
        <v>0</v>
      </c>
      <c r="W37" s="204">
        <v>9280</v>
      </c>
      <c r="X37" s="208">
        <v>0</v>
      </c>
      <c r="Y37" s="204">
        <v>9280</v>
      </c>
      <c r="Z37" s="208">
        <v>0</v>
      </c>
      <c r="AA37" s="47">
        <f>C37+E37+G37+I37+K37+M37+O37+Q37+S37+U37+W37+Y37</f>
        <v>111360</v>
      </c>
      <c r="AB37" s="48">
        <f t="shared" si="37"/>
        <v>0.18715966386554622</v>
      </c>
      <c r="AC37" s="49">
        <f>D37+F37+H37+J37+L37+N37+P37+R37+T37+V37+X37+Z37</f>
        <v>0</v>
      </c>
      <c r="AD37" s="33">
        <f t="shared" si="3"/>
        <v>0</v>
      </c>
      <c r="AE37" s="54"/>
    </row>
    <row r="38" spans="1:31" ht="14.4" outlineLevel="1" x14ac:dyDescent="0.3">
      <c r="A38" s="40" t="str">
        <f>Parametrização!B6</f>
        <v>Adiantamento de Salário</v>
      </c>
      <c r="B38" s="53"/>
      <c r="C38" s="204"/>
      <c r="D38" s="323">
        <v>0</v>
      </c>
      <c r="E38" s="204"/>
      <c r="F38" s="208">
        <v>0</v>
      </c>
      <c r="G38" s="204"/>
      <c r="H38" s="208">
        <v>0</v>
      </c>
      <c r="I38" s="204"/>
      <c r="J38" s="208">
        <v>0</v>
      </c>
      <c r="K38" s="204"/>
      <c r="L38" s="208">
        <v>0</v>
      </c>
      <c r="M38" s="204"/>
      <c r="N38" s="208">
        <v>0</v>
      </c>
      <c r="O38" s="204"/>
      <c r="P38" s="208">
        <v>0</v>
      </c>
      <c r="Q38" s="204"/>
      <c r="R38" s="208">
        <v>0</v>
      </c>
      <c r="S38" s="204"/>
      <c r="T38" s="208">
        <v>0</v>
      </c>
      <c r="U38" s="204"/>
      <c r="V38" s="208">
        <v>0</v>
      </c>
      <c r="W38" s="204"/>
      <c r="X38" s="208">
        <v>0</v>
      </c>
      <c r="Y38" s="204"/>
      <c r="Z38" s="208">
        <v>0</v>
      </c>
      <c r="AA38" s="47">
        <f t="shared" ref="AA38:AA63" si="38">C38+E38+G38+I38+K38+M38+O38+Q38+S38+U38+W38+Y38</f>
        <v>0</v>
      </c>
      <c r="AB38" s="48">
        <f t="shared" si="37"/>
        <v>0</v>
      </c>
      <c r="AC38" s="49">
        <f t="shared" ref="AC38:AC63" si="39">D38+F38+H38+J38+L38+N38+P38+R38+T38+V38+X38+Z38</f>
        <v>0</v>
      </c>
      <c r="AD38" s="33">
        <f t="shared" si="3"/>
        <v>0</v>
      </c>
      <c r="AE38" s="54"/>
    </row>
    <row r="39" spans="1:31" ht="14.4" outlineLevel="1" x14ac:dyDescent="0.3">
      <c r="A39" s="40" t="str">
        <f>Parametrização!B7</f>
        <v>Horas Extras</v>
      </c>
      <c r="B39" s="53"/>
      <c r="C39" s="204"/>
      <c r="D39" s="323">
        <v>0</v>
      </c>
      <c r="E39" s="204"/>
      <c r="F39" s="208">
        <v>0</v>
      </c>
      <c r="G39" s="204"/>
      <c r="H39" s="208">
        <v>0</v>
      </c>
      <c r="I39" s="204"/>
      <c r="J39" s="208">
        <v>0</v>
      </c>
      <c r="K39" s="204"/>
      <c r="L39" s="208">
        <v>0</v>
      </c>
      <c r="M39" s="204"/>
      <c r="N39" s="208">
        <v>0</v>
      </c>
      <c r="O39" s="204"/>
      <c r="P39" s="208">
        <v>0</v>
      </c>
      <c r="Q39" s="204"/>
      <c r="R39" s="208">
        <v>0</v>
      </c>
      <c r="S39" s="204"/>
      <c r="T39" s="208">
        <v>0</v>
      </c>
      <c r="U39" s="204"/>
      <c r="V39" s="208">
        <v>0</v>
      </c>
      <c r="W39" s="204"/>
      <c r="X39" s="208">
        <v>0</v>
      </c>
      <c r="Y39" s="204"/>
      <c r="Z39" s="208">
        <v>0</v>
      </c>
      <c r="AA39" s="47">
        <f t="shared" si="38"/>
        <v>0</v>
      </c>
      <c r="AB39" s="48">
        <f t="shared" si="37"/>
        <v>0</v>
      </c>
      <c r="AC39" s="49">
        <f t="shared" si="39"/>
        <v>0</v>
      </c>
      <c r="AD39" s="33">
        <f t="shared" si="3"/>
        <v>0</v>
      </c>
      <c r="AE39" s="54"/>
    </row>
    <row r="40" spans="1:31" ht="14.4" outlineLevel="1" x14ac:dyDescent="0.3">
      <c r="A40" s="40" t="str">
        <f>Parametrização!B11</f>
        <v>Pró-labore</v>
      </c>
      <c r="B40" s="53"/>
      <c r="C40" s="323">
        <v>5000</v>
      </c>
      <c r="D40" s="323"/>
      <c r="E40" s="323">
        <v>5000</v>
      </c>
      <c r="F40" s="208">
        <v>0</v>
      </c>
      <c r="G40" s="323">
        <v>5000</v>
      </c>
      <c r="H40" s="208">
        <v>0</v>
      </c>
      <c r="I40" s="323">
        <v>5000</v>
      </c>
      <c r="J40" s="208">
        <v>0</v>
      </c>
      <c r="K40" s="323">
        <v>5000</v>
      </c>
      <c r="L40" s="208">
        <v>0</v>
      </c>
      <c r="M40" s="323">
        <v>5000</v>
      </c>
      <c r="N40" s="208">
        <v>0</v>
      </c>
      <c r="O40" s="323">
        <v>5000</v>
      </c>
      <c r="P40" s="208">
        <v>0</v>
      </c>
      <c r="Q40" s="323">
        <v>5000</v>
      </c>
      <c r="R40" s="208">
        <v>0</v>
      </c>
      <c r="S40" s="323">
        <v>5000</v>
      </c>
      <c r="T40" s="208">
        <v>0</v>
      </c>
      <c r="U40" s="323">
        <v>5000</v>
      </c>
      <c r="V40" s="208">
        <v>0</v>
      </c>
      <c r="W40" s="323">
        <v>5000</v>
      </c>
      <c r="X40" s="208">
        <v>0</v>
      </c>
      <c r="Y40" s="323">
        <v>5000</v>
      </c>
      <c r="Z40" s="208">
        <v>0</v>
      </c>
      <c r="AA40" s="47">
        <f t="shared" si="38"/>
        <v>60000</v>
      </c>
      <c r="AB40" s="48">
        <f t="shared" si="37"/>
        <v>0.10084033613445378</v>
      </c>
      <c r="AC40" s="49">
        <f t="shared" si="39"/>
        <v>0</v>
      </c>
      <c r="AD40" s="33">
        <f t="shared" si="3"/>
        <v>0</v>
      </c>
      <c r="AE40" s="54"/>
    </row>
    <row r="41" spans="1:31" ht="14.4" outlineLevel="1" x14ac:dyDescent="0.3">
      <c r="A41" s="40" t="str">
        <f>Parametrização!B12</f>
        <v>Taxa MEI</v>
      </c>
      <c r="B41" s="53"/>
      <c r="C41" s="323">
        <v>0</v>
      </c>
      <c r="D41" s="323"/>
      <c r="E41" s="323">
        <v>0</v>
      </c>
      <c r="F41" s="208">
        <v>0</v>
      </c>
      <c r="G41" s="323">
        <v>0</v>
      </c>
      <c r="H41" s="208">
        <v>0</v>
      </c>
      <c r="I41" s="323">
        <v>0</v>
      </c>
      <c r="J41" s="208">
        <v>0</v>
      </c>
      <c r="K41" s="323">
        <v>0</v>
      </c>
      <c r="L41" s="208">
        <v>0</v>
      </c>
      <c r="M41" s="323">
        <v>0</v>
      </c>
      <c r="N41" s="208">
        <v>0</v>
      </c>
      <c r="O41" s="323">
        <v>0</v>
      </c>
      <c r="P41" s="208">
        <v>0</v>
      </c>
      <c r="Q41" s="323">
        <v>0</v>
      </c>
      <c r="R41" s="208">
        <v>0</v>
      </c>
      <c r="S41" s="323">
        <v>0</v>
      </c>
      <c r="T41" s="208">
        <v>0</v>
      </c>
      <c r="U41" s="323">
        <v>0</v>
      </c>
      <c r="V41" s="208">
        <v>0</v>
      </c>
      <c r="W41" s="323">
        <v>0</v>
      </c>
      <c r="X41" s="208">
        <v>0</v>
      </c>
      <c r="Y41" s="323">
        <v>0</v>
      </c>
      <c r="Z41" s="208">
        <v>0</v>
      </c>
      <c r="AA41" s="47">
        <f t="shared" si="38"/>
        <v>0</v>
      </c>
      <c r="AB41" s="48">
        <f t="shared" si="37"/>
        <v>0</v>
      </c>
      <c r="AC41" s="49">
        <f t="shared" si="39"/>
        <v>0</v>
      </c>
      <c r="AD41" s="33">
        <f t="shared" si="3"/>
        <v>0</v>
      </c>
      <c r="AE41" s="54"/>
    </row>
    <row r="42" spans="1:31" ht="14.4" outlineLevel="1" x14ac:dyDescent="0.3">
      <c r="A42" s="40" t="str">
        <f>Parametrização!$B$49</f>
        <v xml:space="preserve">Encargos Sociais </v>
      </c>
      <c r="B42" s="205">
        <f>+'Encargos '!F36</f>
        <v>0.28970000000000001</v>
      </c>
      <c r="C42" s="310">
        <f>SUM(C37:C39)*$B$42</f>
        <v>2688.4160000000002</v>
      </c>
      <c r="D42" s="331">
        <f>SUM(D37:D39)*$B$42</f>
        <v>0</v>
      </c>
      <c r="E42" s="310">
        <f>SUM(E37:E39)*$B$42</f>
        <v>2688.4160000000002</v>
      </c>
      <c r="F42" s="42">
        <f t="shared" ref="F42:V42" si="40">SUM(F37:F39)*$B$42</f>
        <v>0</v>
      </c>
      <c r="G42" s="310">
        <f>SUM(G37:G39)*$B$42</f>
        <v>2688.4160000000002</v>
      </c>
      <c r="H42" s="42">
        <f t="shared" si="40"/>
        <v>0</v>
      </c>
      <c r="I42" s="310">
        <f>SUM(I37:I39)*$B$42</f>
        <v>2688.4160000000002</v>
      </c>
      <c r="J42" s="42">
        <f t="shared" si="40"/>
        <v>0</v>
      </c>
      <c r="K42" s="310">
        <f>SUM(K37:K39)*$B$42</f>
        <v>2688.4160000000002</v>
      </c>
      <c r="L42" s="42">
        <f t="shared" si="40"/>
        <v>0</v>
      </c>
      <c r="M42" s="310">
        <f>SUM(M37:M39)*$B$42</f>
        <v>2688.4160000000002</v>
      </c>
      <c r="N42" s="42">
        <f t="shared" si="40"/>
        <v>0</v>
      </c>
      <c r="O42" s="310">
        <f>SUM(O37:O39)*$B$42</f>
        <v>2688.4160000000002</v>
      </c>
      <c r="P42" s="42">
        <f t="shared" si="40"/>
        <v>0</v>
      </c>
      <c r="Q42" s="310">
        <f>SUM(Q37:Q39)*$B$42</f>
        <v>2688.4160000000002</v>
      </c>
      <c r="R42" s="42">
        <f t="shared" si="40"/>
        <v>0</v>
      </c>
      <c r="S42" s="310">
        <f>SUM(S37:S39)*$B$42</f>
        <v>2688.4160000000002</v>
      </c>
      <c r="T42" s="42">
        <f t="shared" si="40"/>
        <v>0</v>
      </c>
      <c r="U42" s="310">
        <f>SUM(U37:U39)*$B$42</f>
        <v>2688.4160000000002</v>
      </c>
      <c r="V42" s="42">
        <f t="shared" si="40"/>
        <v>0</v>
      </c>
      <c r="W42" s="310">
        <f>SUM(W37:W39)*$B$42</f>
        <v>2688.4160000000002</v>
      </c>
      <c r="X42" s="42">
        <f>SUM(X37:X39)*$B$42</f>
        <v>0</v>
      </c>
      <c r="Y42" s="310">
        <f>SUM(Y37:Y39)*$B$42</f>
        <v>2688.4160000000002</v>
      </c>
      <c r="Z42" s="42">
        <f>SUM(Z37:Z39)*$B$42</f>
        <v>0</v>
      </c>
      <c r="AA42" s="47">
        <f t="shared" si="38"/>
        <v>32260.992000000009</v>
      </c>
      <c r="AB42" s="48">
        <f t="shared" si="37"/>
        <v>5.4220154621848753E-2</v>
      </c>
      <c r="AC42" s="49">
        <f t="shared" si="39"/>
        <v>0</v>
      </c>
      <c r="AD42" s="33">
        <f t="shared" si="3"/>
        <v>0</v>
      </c>
      <c r="AE42" s="54"/>
    </row>
    <row r="43" spans="1:31" ht="14.4" outlineLevel="1" x14ac:dyDescent="0.3">
      <c r="A43" s="467" t="s">
        <v>282</v>
      </c>
      <c r="B43" s="53"/>
      <c r="C43" s="323">
        <v>0</v>
      </c>
      <c r="D43" s="323"/>
      <c r="E43" s="323">
        <v>0</v>
      </c>
      <c r="F43" s="208">
        <v>0</v>
      </c>
      <c r="G43" s="323">
        <v>0</v>
      </c>
      <c r="H43" s="208">
        <v>0</v>
      </c>
      <c r="I43" s="323">
        <v>0</v>
      </c>
      <c r="J43" s="208">
        <v>0</v>
      </c>
      <c r="K43" s="323">
        <v>0</v>
      </c>
      <c r="L43" s="208">
        <v>0</v>
      </c>
      <c r="M43" s="323">
        <v>0</v>
      </c>
      <c r="N43" s="208">
        <v>0</v>
      </c>
      <c r="O43" s="323">
        <v>0</v>
      </c>
      <c r="P43" s="208">
        <v>0</v>
      </c>
      <c r="Q43" s="323">
        <v>0</v>
      </c>
      <c r="R43" s="208">
        <v>0</v>
      </c>
      <c r="S43" s="323">
        <v>0</v>
      </c>
      <c r="T43" s="208">
        <v>0</v>
      </c>
      <c r="U43" s="323">
        <v>0</v>
      </c>
      <c r="V43" s="208">
        <v>0</v>
      </c>
      <c r="W43" s="323">
        <v>0</v>
      </c>
      <c r="X43" s="208">
        <v>0</v>
      </c>
      <c r="Y43" s="323">
        <v>0</v>
      </c>
      <c r="Z43" s="208">
        <v>0</v>
      </c>
      <c r="AA43" s="47">
        <f t="shared" si="38"/>
        <v>0</v>
      </c>
      <c r="AB43" s="48">
        <f t="shared" si="37"/>
        <v>0</v>
      </c>
      <c r="AC43" s="49">
        <f t="shared" si="39"/>
        <v>0</v>
      </c>
      <c r="AD43" s="33">
        <f t="shared" si="3"/>
        <v>0</v>
      </c>
      <c r="AE43" s="54"/>
    </row>
    <row r="44" spans="1:31" ht="14.4" outlineLevel="1" x14ac:dyDescent="0.3">
      <c r="A44" s="40" t="str">
        <f>Parametrização!B17</f>
        <v>Alvara</v>
      </c>
      <c r="B44" s="53"/>
      <c r="C44" s="323"/>
      <c r="D44" s="323"/>
      <c r="E44" s="323"/>
      <c r="F44" s="208">
        <v>0</v>
      </c>
      <c r="G44" s="323"/>
      <c r="H44" s="208">
        <v>0</v>
      </c>
      <c r="I44" s="323"/>
      <c r="J44" s="208">
        <v>0</v>
      </c>
      <c r="K44" s="323"/>
      <c r="L44" s="208">
        <v>0</v>
      </c>
      <c r="M44" s="323"/>
      <c r="N44" s="208">
        <v>0</v>
      </c>
      <c r="O44" s="323"/>
      <c r="P44" s="208">
        <v>0</v>
      </c>
      <c r="Q44" s="323"/>
      <c r="R44" s="208">
        <v>0</v>
      </c>
      <c r="S44" s="323"/>
      <c r="T44" s="208">
        <v>0</v>
      </c>
      <c r="U44" s="323"/>
      <c r="V44" s="208">
        <v>0</v>
      </c>
      <c r="W44" s="323"/>
      <c r="X44" s="208">
        <v>0</v>
      </c>
      <c r="Y44" s="323"/>
      <c r="Z44" s="208">
        <v>0</v>
      </c>
      <c r="AA44" s="47">
        <f t="shared" si="38"/>
        <v>0</v>
      </c>
      <c r="AB44" s="48">
        <f t="shared" si="37"/>
        <v>0</v>
      </c>
      <c r="AC44" s="49">
        <f t="shared" si="39"/>
        <v>0</v>
      </c>
      <c r="AD44" s="33">
        <f t="shared" si="3"/>
        <v>0</v>
      </c>
      <c r="AE44" s="54"/>
    </row>
    <row r="45" spans="1:31" ht="14.4" outlineLevel="1" x14ac:dyDescent="0.3">
      <c r="A45" s="40" t="str">
        <f>Parametrização!B18</f>
        <v>Água</v>
      </c>
      <c r="B45" s="53"/>
      <c r="C45" s="323">
        <v>100</v>
      </c>
      <c r="D45" s="323"/>
      <c r="E45" s="323">
        <v>100</v>
      </c>
      <c r="F45" s="208">
        <v>0</v>
      </c>
      <c r="G45" s="323">
        <v>100</v>
      </c>
      <c r="H45" s="208">
        <v>0</v>
      </c>
      <c r="I45" s="323">
        <v>100</v>
      </c>
      <c r="J45" s="208">
        <v>0</v>
      </c>
      <c r="K45" s="323">
        <v>100</v>
      </c>
      <c r="L45" s="208">
        <v>0</v>
      </c>
      <c r="M45" s="323">
        <v>100</v>
      </c>
      <c r="N45" s="208">
        <v>0</v>
      </c>
      <c r="O45" s="323">
        <v>100</v>
      </c>
      <c r="P45" s="208">
        <v>0</v>
      </c>
      <c r="Q45" s="323">
        <v>100</v>
      </c>
      <c r="R45" s="208">
        <v>0</v>
      </c>
      <c r="S45" s="323">
        <v>100</v>
      </c>
      <c r="T45" s="208">
        <v>0</v>
      </c>
      <c r="U45" s="323">
        <v>100</v>
      </c>
      <c r="V45" s="208">
        <v>0</v>
      </c>
      <c r="W45" s="323">
        <v>100</v>
      </c>
      <c r="X45" s="208">
        <v>0</v>
      </c>
      <c r="Y45" s="323">
        <v>100</v>
      </c>
      <c r="Z45" s="208">
        <v>0</v>
      </c>
      <c r="AA45" s="47">
        <f>C45+E45+G45+I45+K45+M45+O45+Q45+S45+U45+W45+Y45</f>
        <v>1200</v>
      </c>
      <c r="AB45" s="48">
        <f t="shared" si="37"/>
        <v>2.0168067226890756E-3</v>
      </c>
      <c r="AC45" s="49">
        <f t="shared" si="39"/>
        <v>0</v>
      </c>
      <c r="AD45" s="33">
        <f t="shared" si="3"/>
        <v>0</v>
      </c>
      <c r="AE45" s="54"/>
    </row>
    <row r="46" spans="1:31" ht="14.4" outlineLevel="1" x14ac:dyDescent="0.3">
      <c r="A46" s="40" t="str">
        <f>Parametrização!B19</f>
        <v>Aluguel</v>
      </c>
      <c r="B46" s="53"/>
      <c r="C46" s="329">
        <v>4000</v>
      </c>
      <c r="D46" s="329"/>
      <c r="E46" s="329">
        <v>4000</v>
      </c>
      <c r="F46" s="208">
        <v>0</v>
      </c>
      <c r="G46" s="329">
        <v>4000</v>
      </c>
      <c r="H46" s="208">
        <v>0</v>
      </c>
      <c r="I46" s="329">
        <v>4000</v>
      </c>
      <c r="J46" s="208">
        <v>0</v>
      </c>
      <c r="K46" s="329">
        <v>4000</v>
      </c>
      <c r="L46" s="208">
        <v>0</v>
      </c>
      <c r="M46" s="329">
        <v>4000</v>
      </c>
      <c r="N46" s="208">
        <v>0</v>
      </c>
      <c r="O46" s="329">
        <v>4000</v>
      </c>
      <c r="P46" s="208">
        <v>0</v>
      </c>
      <c r="Q46" s="329">
        <v>4000</v>
      </c>
      <c r="R46" s="208">
        <v>0</v>
      </c>
      <c r="S46" s="329">
        <v>4000</v>
      </c>
      <c r="T46" s="208">
        <v>0</v>
      </c>
      <c r="U46" s="329">
        <v>4000</v>
      </c>
      <c r="V46" s="208">
        <v>0</v>
      </c>
      <c r="W46" s="329">
        <v>4000</v>
      </c>
      <c r="X46" s="208">
        <v>0</v>
      </c>
      <c r="Y46" s="329">
        <v>4000</v>
      </c>
      <c r="Z46" s="208">
        <v>0</v>
      </c>
      <c r="AA46" s="47">
        <f t="shared" si="38"/>
        <v>48000</v>
      </c>
      <c r="AB46" s="48">
        <f t="shared" si="37"/>
        <v>8.067226890756303E-2</v>
      </c>
      <c r="AC46" s="49">
        <f t="shared" si="39"/>
        <v>0</v>
      </c>
      <c r="AD46" s="33">
        <f t="shared" si="3"/>
        <v>0</v>
      </c>
      <c r="AE46" s="54"/>
    </row>
    <row r="47" spans="1:31" ht="14.4" outlineLevel="1" x14ac:dyDescent="0.3">
      <c r="A47" s="40" t="str">
        <f>Parametrização!B20</f>
        <v>Medicina Ocupacional</v>
      </c>
      <c r="B47" s="53"/>
      <c r="C47" s="329"/>
      <c r="D47" s="329"/>
      <c r="E47" s="329"/>
      <c r="F47" s="208">
        <v>0</v>
      </c>
      <c r="G47" s="329"/>
      <c r="H47" s="208">
        <v>0</v>
      </c>
      <c r="I47" s="329"/>
      <c r="J47" s="208">
        <v>0</v>
      </c>
      <c r="K47" s="329"/>
      <c r="L47" s="208">
        <v>0</v>
      </c>
      <c r="M47" s="329"/>
      <c r="N47" s="208">
        <v>0</v>
      </c>
      <c r="O47" s="329"/>
      <c r="P47" s="208">
        <v>0</v>
      </c>
      <c r="Q47" s="329"/>
      <c r="R47" s="208">
        <v>0</v>
      </c>
      <c r="S47" s="329"/>
      <c r="T47" s="208">
        <v>0</v>
      </c>
      <c r="U47" s="329"/>
      <c r="V47" s="208">
        <v>0</v>
      </c>
      <c r="W47" s="329"/>
      <c r="X47" s="208">
        <v>0</v>
      </c>
      <c r="Y47" s="329"/>
      <c r="Z47" s="208">
        <v>0</v>
      </c>
      <c r="AA47" s="47">
        <f t="shared" si="38"/>
        <v>0</v>
      </c>
      <c r="AB47" s="48">
        <f t="shared" si="37"/>
        <v>0</v>
      </c>
      <c r="AC47" s="49">
        <f t="shared" si="39"/>
        <v>0</v>
      </c>
      <c r="AD47" s="33">
        <f t="shared" si="3"/>
        <v>0</v>
      </c>
      <c r="AE47" s="54"/>
    </row>
    <row r="48" spans="1:31" ht="14.4" outlineLevel="1" x14ac:dyDescent="0.3">
      <c r="A48" s="40" t="str">
        <f>Parametrização!B21</f>
        <v>Manutenção de Veículos</v>
      </c>
      <c r="B48" s="53"/>
      <c r="C48" s="329"/>
      <c r="D48" s="329"/>
      <c r="E48" s="329"/>
      <c r="F48" s="208">
        <v>0</v>
      </c>
      <c r="G48" s="329"/>
      <c r="H48" s="208">
        <v>0</v>
      </c>
      <c r="I48" s="329"/>
      <c r="J48" s="208">
        <v>0</v>
      </c>
      <c r="K48" s="329"/>
      <c r="L48" s="208">
        <v>0</v>
      </c>
      <c r="M48" s="329"/>
      <c r="N48" s="208">
        <v>0</v>
      </c>
      <c r="O48" s="329"/>
      <c r="P48" s="208">
        <v>0</v>
      </c>
      <c r="Q48" s="329"/>
      <c r="R48" s="208">
        <v>0</v>
      </c>
      <c r="S48" s="329"/>
      <c r="T48" s="208">
        <v>0</v>
      </c>
      <c r="U48" s="329"/>
      <c r="V48" s="208">
        <v>0</v>
      </c>
      <c r="W48" s="329"/>
      <c r="X48" s="208">
        <v>0</v>
      </c>
      <c r="Y48" s="329"/>
      <c r="Z48" s="208">
        <v>0</v>
      </c>
      <c r="AA48" s="47">
        <f>C48+E48+G48+I48+K48+M48+O48+Q48+S48+U48+W48+Y48</f>
        <v>0</v>
      </c>
      <c r="AB48" s="48">
        <f t="shared" si="37"/>
        <v>0</v>
      </c>
      <c r="AC48" s="49">
        <f t="shared" si="39"/>
        <v>0</v>
      </c>
      <c r="AD48" s="33">
        <f t="shared" si="3"/>
        <v>0</v>
      </c>
      <c r="AE48" s="54"/>
    </row>
    <row r="49" spans="1:31" ht="14.4" outlineLevel="1" x14ac:dyDescent="0.3">
      <c r="A49" s="40" t="str">
        <f>Parametrização!B23</f>
        <v>Material de Uso e Consumo</v>
      </c>
      <c r="B49" s="53"/>
      <c r="C49" s="329"/>
      <c r="D49" s="329"/>
      <c r="E49" s="329"/>
      <c r="F49" s="208">
        <v>0</v>
      </c>
      <c r="G49" s="329"/>
      <c r="H49" s="208">
        <v>0</v>
      </c>
      <c r="I49" s="329"/>
      <c r="J49" s="208">
        <v>0</v>
      </c>
      <c r="K49" s="329"/>
      <c r="L49" s="208">
        <v>0</v>
      </c>
      <c r="M49" s="329"/>
      <c r="N49" s="208">
        <v>0</v>
      </c>
      <c r="O49" s="329"/>
      <c r="P49" s="208">
        <v>0</v>
      </c>
      <c r="Q49" s="329"/>
      <c r="R49" s="208">
        <v>0</v>
      </c>
      <c r="S49" s="329"/>
      <c r="T49" s="208">
        <v>0</v>
      </c>
      <c r="U49" s="329"/>
      <c r="V49" s="208">
        <v>0</v>
      </c>
      <c r="W49" s="329"/>
      <c r="X49" s="208">
        <v>0</v>
      </c>
      <c r="Y49" s="329"/>
      <c r="Z49" s="208">
        <v>0</v>
      </c>
      <c r="AA49" s="47">
        <f t="shared" si="38"/>
        <v>0</v>
      </c>
      <c r="AB49" s="48">
        <f t="shared" si="37"/>
        <v>0</v>
      </c>
      <c r="AC49" s="49">
        <f t="shared" si="39"/>
        <v>0</v>
      </c>
      <c r="AD49" s="33">
        <f t="shared" si="3"/>
        <v>0</v>
      </c>
      <c r="AE49" s="54"/>
    </row>
    <row r="50" spans="1:31" ht="14.4" outlineLevel="1" x14ac:dyDescent="0.3">
      <c r="A50" s="40" t="str">
        <f>Parametrização!B24</f>
        <v>IPTU</v>
      </c>
      <c r="B50" s="53"/>
      <c r="C50" s="329"/>
      <c r="D50" s="329"/>
      <c r="E50" s="329"/>
      <c r="F50" s="208">
        <v>0</v>
      </c>
      <c r="G50" s="329"/>
      <c r="H50" s="208">
        <v>0</v>
      </c>
      <c r="I50" s="329"/>
      <c r="J50" s="208">
        <v>0</v>
      </c>
      <c r="K50" s="329"/>
      <c r="L50" s="208">
        <v>0</v>
      </c>
      <c r="M50" s="329"/>
      <c r="N50" s="208">
        <v>0</v>
      </c>
      <c r="O50" s="329"/>
      <c r="P50" s="208">
        <v>0</v>
      </c>
      <c r="Q50" s="329"/>
      <c r="R50" s="208">
        <v>0</v>
      </c>
      <c r="S50" s="329"/>
      <c r="T50" s="208">
        <v>0</v>
      </c>
      <c r="U50" s="329"/>
      <c r="V50" s="208">
        <v>0</v>
      </c>
      <c r="W50" s="329"/>
      <c r="X50" s="208">
        <v>0</v>
      </c>
      <c r="Y50" s="329"/>
      <c r="Z50" s="208">
        <v>0</v>
      </c>
      <c r="AA50" s="47">
        <f t="shared" si="38"/>
        <v>0</v>
      </c>
      <c r="AB50" s="48">
        <f t="shared" si="37"/>
        <v>0</v>
      </c>
      <c r="AC50" s="49">
        <f t="shared" si="39"/>
        <v>0</v>
      </c>
      <c r="AD50" s="33">
        <f t="shared" si="3"/>
        <v>0</v>
      </c>
      <c r="AE50" s="54"/>
    </row>
    <row r="51" spans="1:31" ht="14.4" outlineLevel="1" x14ac:dyDescent="0.3">
      <c r="A51" s="40" t="str">
        <f>Parametrização!B25</f>
        <v>Internet</v>
      </c>
      <c r="B51" s="53"/>
      <c r="C51" s="329">
        <v>180</v>
      </c>
      <c r="D51" s="329"/>
      <c r="E51" s="329">
        <v>180</v>
      </c>
      <c r="F51" s="208">
        <v>0</v>
      </c>
      <c r="G51" s="329">
        <v>180</v>
      </c>
      <c r="H51" s="208">
        <v>0</v>
      </c>
      <c r="I51" s="329">
        <v>180</v>
      </c>
      <c r="J51" s="208">
        <v>0</v>
      </c>
      <c r="K51" s="329">
        <v>180</v>
      </c>
      <c r="L51" s="208">
        <v>0</v>
      </c>
      <c r="M51" s="329">
        <v>180</v>
      </c>
      <c r="N51" s="208">
        <v>0</v>
      </c>
      <c r="O51" s="329">
        <v>180</v>
      </c>
      <c r="P51" s="208">
        <v>0</v>
      </c>
      <c r="Q51" s="329">
        <v>180</v>
      </c>
      <c r="R51" s="208">
        <v>0</v>
      </c>
      <c r="S51" s="329">
        <v>180</v>
      </c>
      <c r="T51" s="208">
        <v>0</v>
      </c>
      <c r="U51" s="329">
        <v>180</v>
      </c>
      <c r="V51" s="208">
        <v>0</v>
      </c>
      <c r="W51" s="329">
        <v>180</v>
      </c>
      <c r="X51" s="208">
        <v>0</v>
      </c>
      <c r="Y51" s="329">
        <v>180</v>
      </c>
      <c r="Z51" s="208">
        <v>0</v>
      </c>
      <c r="AA51" s="47">
        <f t="shared" si="38"/>
        <v>2160</v>
      </c>
      <c r="AB51" s="48">
        <f t="shared" si="37"/>
        <v>3.6302521008403361E-3</v>
      </c>
      <c r="AC51" s="49">
        <f t="shared" si="39"/>
        <v>0</v>
      </c>
      <c r="AD51" s="33">
        <f t="shared" si="3"/>
        <v>0</v>
      </c>
      <c r="AE51" s="54"/>
    </row>
    <row r="52" spans="1:31" ht="14.4" outlineLevel="1" x14ac:dyDescent="0.3">
      <c r="A52" s="40" t="str">
        <f>Parametrização!B26</f>
        <v>Contabilidade</v>
      </c>
      <c r="B52" s="53"/>
      <c r="C52" s="329">
        <v>360</v>
      </c>
      <c r="D52" s="329"/>
      <c r="E52" s="329">
        <v>360</v>
      </c>
      <c r="F52" s="208">
        <v>0</v>
      </c>
      <c r="G52" s="329">
        <v>360</v>
      </c>
      <c r="H52" s="208">
        <v>0</v>
      </c>
      <c r="I52" s="329">
        <v>360</v>
      </c>
      <c r="J52" s="208">
        <v>0</v>
      </c>
      <c r="K52" s="329">
        <v>360</v>
      </c>
      <c r="L52" s="208">
        <v>0</v>
      </c>
      <c r="M52" s="329">
        <v>360</v>
      </c>
      <c r="N52" s="208">
        <v>0</v>
      </c>
      <c r="O52" s="329">
        <v>360</v>
      </c>
      <c r="P52" s="208">
        <v>0</v>
      </c>
      <c r="Q52" s="329">
        <v>360</v>
      </c>
      <c r="R52" s="208">
        <v>0</v>
      </c>
      <c r="S52" s="329">
        <v>360</v>
      </c>
      <c r="T52" s="208">
        <v>0</v>
      </c>
      <c r="U52" s="329">
        <v>360</v>
      </c>
      <c r="V52" s="208">
        <v>0</v>
      </c>
      <c r="W52" s="329">
        <v>360</v>
      </c>
      <c r="X52" s="208">
        <v>0</v>
      </c>
      <c r="Y52" s="329">
        <v>360</v>
      </c>
      <c r="Z52" s="208">
        <v>0</v>
      </c>
      <c r="AA52" s="47">
        <f t="shared" si="38"/>
        <v>4320</v>
      </c>
      <c r="AB52" s="48">
        <f t="shared" si="37"/>
        <v>7.2605042016806723E-3</v>
      </c>
      <c r="AC52" s="49">
        <f t="shared" si="39"/>
        <v>0</v>
      </c>
      <c r="AD52" s="33">
        <f t="shared" si="3"/>
        <v>0</v>
      </c>
      <c r="AE52" s="54"/>
    </row>
    <row r="53" spans="1:31" ht="14.4" outlineLevel="1" x14ac:dyDescent="0.3">
      <c r="A53" s="40" t="str">
        <f>Parametrização!B27</f>
        <v>Despesas de Informática</v>
      </c>
      <c r="B53" s="53"/>
      <c r="C53" s="329"/>
      <c r="D53" s="329"/>
      <c r="E53" s="329"/>
      <c r="F53" s="208">
        <v>0</v>
      </c>
      <c r="G53" s="329"/>
      <c r="H53" s="208">
        <v>0</v>
      </c>
      <c r="I53" s="329"/>
      <c r="J53" s="208">
        <v>0</v>
      </c>
      <c r="K53" s="329"/>
      <c r="L53" s="208">
        <v>0</v>
      </c>
      <c r="M53" s="329"/>
      <c r="N53" s="208">
        <v>0</v>
      </c>
      <c r="O53" s="329"/>
      <c r="P53" s="208">
        <v>0</v>
      </c>
      <c r="Q53" s="329"/>
      <c r="R53" s="208">
        <v>0</v>
      </c>
      <c r="S53" s="329"/>
      <c r="T53" s="208">
        <v>0</v>
      </c>
      <c r="U53" s="329"/>
      <c r="V53" s="208">
        <v>0</v>
      </c>
      <c r="W53" s="329"/>
      <c r="X53" s="208">
        <v>0</v>
      </c>
      <c r="Y53" s="329"/>
      <c r="Z53" s="208">
        <v>0</v>
      </c>
      <c r="AA53" s="47">
        <f t="shared" si="38"/>
        <v>0</v>
      </c>
      <c r="AB53" s="48">
        <f t="shared" si="37"/>
        <v>0</v>
      </c>
      <c r="AC53" s="49">
        <f t="shared" si="39"/>
        <v>0</v>
      </c>
      <c r="AD53" s="33">
        <f t="shared" si="3"/>
        <v>0</v>
      </c>
      <c r="AE53" s="54"/>
    </row>
    <row r="54" spans="1:31" ht="14.4" outlineLevel="1" x14ac:dyDescent="0.3">
      <c r="A54" s="40" t="str">
        <f>Parametrização!B28</f>
        <v>Combustível</v>
      </c>
      <c r="B54" s="53"/>
      <c r="C54" s="329"/>
      <c r="D54" s="329"/>
      <c r="E54" s="329"/>
      <c r="F54" s="208">
        <v>0</v>
      </c>
      <c r="G54" s="329"/>
      <c r="H54" s="208">
        <v>0</v>
      </c>
      <c r="I54" s="329"/>
      <c r="J54" s="208">
        <v>0</v>
      </c>
      <c r="K54" s="329"/>
      <c r="L54" s="208">
        <v>0</v>
      </c>
      <c r="M54" s="329"/>
      <c r="N54" s="208">
        <v>0</v>
      </c>
      <c r="O54" s="329"/>
      <c r="P54" s="208">
        <v>0</v>
      </c>
      <c r="Q54" s="329"/>
      <c r="R54" s="208">
        <v>0</v>
      </c>
      <c r="S54" s="329"/>
      <c r="T54" s="208">
        <v>0</v>
      </c>
      <c r="U54" s="329"/>
      <c r="V54" s="208">
        <v>0</v>
      </c>
      <c r="W54" s="329"/>
      <c r="X54" s="208">
        <v>0</v>
      </c>
      <c r="Y54" s="329"/>
      <c r="Z54" s="208">
        <v>0</v>
      </c>
      <c r="AA54" s="47">
        <f t="shared" si="38"/>
        <v>0</v>
      </c>
      <c r="AB54" s="48">
        <f t="shared" si="37"/>
        <v>0</v>
      </c>
      <c r="AC54" s="49">
        <f t="shared" si="39"/>
        <v>0</v>
      </c>
      <c r="AD54" s="33">
        <f t="shared" si="3"/>
        <v>0</v>
      </c>
      <c r="AE54" s="54"/>
    </row>
    <row r="55" spans="1:31" ht="14.4" outlineLevel="1" x14ac:dyDescent="0.3">
      <c r="A55" s="40" t="str">
        <f>Parametrização!B29</f>
        <v>Serviços de Terceiros</v>
      </c>
      <c r="B55" s="53"/>
      <c r="C55" s="329"/>
      <c r="D55" s="329"/>
      <c r="E55" s="329"/>
      <c r="F55" s="208">
        <v>0</v>
      </c>
      <c r="G55" s="329"/>
      <c r="H55" s="208">
        <v>0</v>
      </c>
      <c r="I55" s="329"/>
      <c r="J55" s="208">
        <v>0</v>
      </c>
      <c r="K55" s="329"/>
      <c r="L55" s="208">
        <v>0</v>
      </c>
      <c r="M55" s="329"/>
      <c r="N55" s="208">
        <v>0</v>
      </c>
      <c r="O55" s="329"/>
      <c r="P55" s="208">
        <v>0</v>
      </c>
      <c r="Q55" s="329"/>
      <c r="R55" s="208">
        <v>0</v>
      </c>
      <c r="S55" s="329"/>
      <c r="T55" s="208">
        <v>0</v>
      </c>
      <c r="U55" s="329"/>
      <c r="V55" s="208">
        <v>0</v>
      </c>
      <c r="W55" s="329"/>
      <c r="X55" s="208">
        <v>0</v>
      </c>
      <c r="Y55" s="329"/>
      <c r="Z55" s="208">
        <v>0</v>
      </c>
      <c r="AA55" s="47">
        <f t="shared" si="38"/>
        <v>0</v>
      </c>
      <c r="AB55" s="48">
        <f t="shared" si="37"/>
        <v>0</v>
      </c>
      <c r="AC55" s="49">
        <f t="shared" si="39"/>
        <v>0</v>
      </c>
      <c r="AD55" s="33">
        <f t="shared" si="3"/>
        <v>0</v>
      </c>
      <c r="AE55" s="54"/>
    </row>
    <row r="56" spans="1:31" ht="14.4" outlineLevel="1" x14ac:dyDescent="0.3">
      <c r="A56" s="40" t="str">
        <f>Parametrização!B30</f>
        <v>Mensalidades</v>
      </c>
      <c r="B56" s="53"/>
      <c r="C56" s="329"/>
      <c r="D56" s="329"/>
      <c r="E56" s="329"/>
      <c r="F56" s="208">
        <v>0</v>
      </c>
      <c r="G56" s="329"/>
      <c r="H56" s="208">
        <v>0</v>
      </c>
      <c r="I56" s="329"/>
      <c r="J56" s="208">
        <v>0</v>
      </c>
      <c r="K56" s="329"/>
      <c r="L56" s="208">
        <v>0</v>
      </c>
      <c r="M56" s="329"/>
      <c r="N56" s="208">
        <v>0</v>
      </c>
      <c r="O56" s="329"/>
      <c r="P56" s="208">
        <v>0</v>
      </c>
      <c r="Q56" s="329"/>
      <c r="R56" s="208">
        <v>0</v>
      </c>
      <c r="S56" s="329"/>
      <c r="T56" s="208">
        <v>0</v>
      </c>
      <c r="U56" s="329"/>
      <c r="V56" s="208">
        <v>0</v>
      </c>
      <c r="W56" s="329"/>
      <c r="X56" s="208">
        <v>0</v>
      </c>
      <c r="Y56" s="329"/>
      <c r="Z56" s="208">
        <v>0</v>
      </c>
      <c r="AA56" s="47">
        <f t="shared" si="38"/>
        <v>0</v>
      </c>
      <c r="AB56" s="48">
        <f t="shared" si="37"/>
        <v>0</v>
      </c>
      <c r="AC56" s="49">
        <f t="shared" si="39"/>
        <v>0</v>
      </c>
      <c r="AD56" s="33">
        <f t="shared" si="3"/>
        <v>0</v>
      </c>
      <c r="AE56" s="54"/>
    </row>
    <row r="57" spans="1:31" ht="14.4" outlineLevel="1" x14ac:dyDescent="0.3">
      <c r="A57" s="40" t="str">
        <f>Parametrização!B31</f>
        <v>Energia Elétrica</v>
      </c>
      <c r="B57" s="53"/>
      <c r="C57" s="329">
        <v>400</v>
      </c>
      <c r="D57" s="329"/>
      <c r="E57" s="329">
        <v>400</v>
      </c>
      <c r="F57" s="208">
        <v>0</v>
      </c>
      <c r="G57" s="329">
        <v>400</v>
      </c>
      <c r="H57" s="208">
        <v>0</v>
      </c>
      <c r="I57" s="329">
        <v>400</v>
      </c>
      <c r="J57" s="208">
        <v>0</v>
      </c>
      <c r="K57" s="329">
        <v>400</v>
      </c>
      <c r="L57" s="208">
        <v>0</v>
      </c>
      <c r="M57" s="329">
        <v>400</v>
      </c>
      <c r="N57" s="208">
        <v>0</v>
      </c>
      <c r="O57" s="329">
        <v>400</v>
      </c>
      <c r="P57" s="208">
        <v>0</v>
      </c>
      <c r="Q57" s="329">
        <v>400</v>
      </c>
      <c r="R57" s="208">
        <v>0</v>
      </c>
      <c r="S57" s="329">
        <v>400</v>
      </c>
      <c r="T57" s="208">
        <v>0</v>
      </c>
      <c r="U57" s="329">
        <v>400</v>
      </c>
      <c r="V57" s="208">
        <v>0</v>
      </c>
      <c r="W57" s="329">
        <v>400</v>
      </c>
      <c r="X57" s="208">
        <v>0</v>
      </c>
      <c r="Y57" s="329">
        <v>400</v>
      </c>
      <c r="Z57" s="208">
        <v>0</v>
      </c>
      <c r="AA57" s="47">
        <f t="shared" si="38"/>
        <v>4800</v>
      </c>
      <c r="AB57" s="48">
        <f t="shared" si="37"/>
        <v>8.0672268907563023E-3</v>
      </c>
      <c r="AC57" s="49">
        <f t="shared" si="39"/>
        <v>0</v>
      </c>
      <c r="AD57" s="33">
        <f t="shared" si="3"/>
        <v>0</v>
      </c>
      <c r="AE57" s="54"/>
    </row>
    <row r="58" spans="1:31" ht="14.4" outlineLevel="1" x14ac:dyDescent="0.3">
      <c r="A58" s="40" t="str">
        <f>Parametrização!B37</f>
        <v>Terceirização Interna</v>
      </c>
      <c r="B58" s="53"/>
      <c r="C58" s="329"/>
      <c r="D58" s="329"/>
      <c r="E58" s="329"/>
      <c r="F58" s="208">
        <v>0</v>
      </c>
      <c r="G58" s="329"/>
      <c r="H58" s="208">
        <v>0</v>
      </c>
      <c r="I58" s="329"/>
      <c r="J58" s="208">
        <v>0</v>
      </c>
      <c r="K58" s="329"/>
      <c r="L58" s="208">
        <v>0</v>
      </c>
      <c r="M58" s="329"/>
      <c r="N58" s="208">
        <v>0</v>
      </c>
      <c r="O58" s="329"/>
      <c r="P58" s="208">
        <v>0</v>
      </c>
      <c r="Q58" s="329"/>
      <c r="R58" s="208">
        <v>0</v>
      </c>
      <c r="S58" s="329"/>
      <c r="T58" s="208">
        <v>0</v>
      </c>
      <c r="U58" s="329"/>
      <c r="V58" s="208">
        <v>0</v>
      </c>
      <c r="W58" s="329"/>
      <c r="X58" s="208">
        <v>0</v>
      </c>
      <c r="Y58" s="329"/>
      <c r="Z58" s="208">
        <v>0</v>
      </c>
      <c r="AA58" s="47">
        <f t="shared" si="38"/>
        <v>0</v>
      </c>
      <c r="AB58" s="48">
        <f t="shared" si="37"/>
        <v>0</v>
      </c>
      <c r="AC58" s="49">
        <f t="shared" si="39"/>
        <v>0</v>
      </c>
      <c r="AD58" s="33">
        <f t="shared" si="3"/>
        <v>0</v>
      </c>
      <c r="AE58" s="54"/>
    </row>
    <row r="59" spans="1:31" ht="14.4" outlineLevel="1" x14ac:dyDescent="0.3">
      <c r="A59" s="40" t="str">
        <f>Parametrização!B38</f>
        <v>Seguros</v>
      </c>
      <c r="B59" s="53"/>
      <c r="C59" s="329">
        <v>60</v>
      </c>
      <c r="D59" s="329"/>
      <c r="E59" s="329">
        <v>60</v>
      </c>
      <c r="F59" s="208">
        <v>0</v>
      </c>
      <c r="G59" s="329">
        <v>60</v>
      </c>
      <c r="H59" s="208">
        <v>0</v>
      </c>
      <c r="I59" s="329">
        <v>60</v>
      </c>
      <c r="J59" s="208">
        <v>0</v>
      </c>
      <c r="K59" s="329">
        <v>60</v>
      </c>
      <c r="L59" s="208">
        <v>0</v>
      </c>
      <c r="M59" s="329">
        <v>60</v>
      </c>
      <c r="N59" s="208">
        <v>0</v>
      </c>
      <c r="O59" s="329">
        <v>60</v>
      </c>
      <c r="P59" s="208">
        <v>0</v>
      </c>
      <c r="Q59" s="329">
        <v>60</v>
      </c>
      <c r="R59" s="208">
        <v>0</v>
      </c>
      <c r="S59" s="329">
        <v>60</v>
      </c>
      <c r="T59" s="208">
        <v>0</v>
      </c>
      <c r="U59" s="329">
        <v>60</v>
      </c>
      <c r="V59" s="208">
        <v>0</v>
      </c>
      <c r="W59" s="329">
        <v>60</v>
      </c>
      <c r="X59" s="208">
        <v>0</v>
      </c>
      <c r="Y59" s="329">
        <v>60</v>
      </c>
      <c r="Z59" s="208">
        <v>0</v>
      </c>
      <c r="AA59" s="47">
        <f t="shared" si="38"/>
        <v>720</v>
      </c>
      <c r="AB59" s="48">
        <f t="shared" si="37"/>
        <v>1.2100840336134453E-3</v>
      </c>
      <c r="AC59" s="49">
        <f t="shared" si="39"/>
        <v>0</v>
      </c>
      <c r="AD59" s="33">
        <f t="shared" si="3"/>
        <v>0</v>
      </c>
      <c r="AE59" s="54"/>
    </row>
    <row r="60" spans="1:31" ht="14.4" outlineLevel="1" x14ac:dyDescent="0.3">
      <c r="A60" s="40" t="str">
        <f>Parametrização!B39</f>
        <v>Material de Escritório</v>
      </c>
      <c r="B60" s="53"/>
      <c r="C60" s="329">
        <v>200</v>
      </c>
      <c r="D60" s="329"/>
      <c r="E60" s="329">
        <v>200</v>
      </c>
      <c r="F60" s="208">
        <v>0</v>
      </c>
      <c r="G60" s="329">
        <v>200</v>
      </c>
      <c r="H60" s="208">
        <v>0</v>
      </c>
      <c r="I60" s="329">
        <v>200</v>
      </c>
      <c r="J60" s="208">
        <v>0</v>
      </c>
      <c r="K60" s="329">
        <v>200</v>
      </c>
      <c r="L60" s="208">
        <v>0</v>
      </c>
      <c r="M60" s="329">
        <v>200</v>
      </c>
      <c r="N60" s="208">
        <v>0</v>
      </c>
      <c r="O60" s="329">
        <v>200</v>
      </c>
      <c r="P60" s="208">
        <v>0</v>
      </c>
      <c r="Q60" s="329">
        <v>200</v>
      </c>
      <c r="R60" s="208">
        <v>0</v>
      </c>
      <c r="S60" s="329">
        <v>200</v>
      </c>
      <c r="T60" s="208">
        <v>0</v>
      </c>
      <c r="U60" s="329">
        <v>200</v>
      </c>
      <c r="V60" s="208">
        <v>0</v>
      </c>
      <c r="W60" s="329">
        <v>200</v>
      </c>
      <c r="X60" s="208">
        <v>0</v>
      </c>
      <c r="Y60" s="329">
        <v>200</v>
      </c>
      <c r="Z60" s="208">
        <v>0</v>
      </c>
      <c r="AA60" s="47">
        <f t="shared" si="38"/>
        <v>2400</v>
      </c>
      <c r="AB60" s="48">
        <f t="shared" si="37"/>
        <v>4.0336134453781512E-3</v>
      </c>
      <c r="AC60" s="49">
        <f t="shared" si="39"/>
        <v>0</v>
      </c>
      <c r="AD60" s="33">
        <f t="shared" si="3"/>
        <v>0</v>
      </c>
      <c r="AE60" s="54"/>
    </row>
    <row r="61" spans="1:31" ht="14.4" outlineLevel="1" x14ac:dyDescent="0.3">
      <c r="A61" s="40" t="str">
        <f>Parametrização!B40</f>
        <v>Material de Limpeza</v>
      </c>
      <c r="B61" s="53"/>
      <c r="C61" s="329">
        <v>150</v>
      </c>
      <c r="D61" s="329"/>
      <c r="E61" s="329">
        <v>150</v>
      </c>
      <c r="F61" s="208">
        <v>0</v>
      </c>
      <c r="G61" s="329">
        <v>150</v>
      </c>
      <c r="H61" s="208">
        <v>0</v>
      </c>
      <c r="I61" s="329">
        <v>150</v>
      </c>
      <c r="J61" s="208">
        <v>0</v>
      </c>
      <c r="K61" s="329">
        <v>150</v>
      </c>
      <c r="L61" s="208">
        <v>0</v>
      </c>
      <c r="M61" s="329">
        <v>150</v>
      </c>
      <c r="N61" s="208">
        <v>0</v>
      </c>
      <c r="O61" s="329">
        <v>150</v>
      </c>
      <c r="P61" s="208">
        <v>0</v>
      </c>
      <c r="Q61" s="329">
        <v>150</v>
      </c>
      <c r="R61" s="208">
        <v>0</v>
      </c>
      <c r="S61" s="329">
        <v>150</v>
      </c>
      <c r="T61" s="208">
        <v>0</v>
      </c>
      <c r="U61" s="329">
        <v>150</v>
      </c>
      <c r="V61" s="208">
        <v>0</v>
      </c>
      <c r="W61" s="329">
        <v>150</v>
      </c>
      <c r="X61" s="208">
        <v>0</v>
      </c>
      <c r="Y61" s="329">
        <v>150</v>
      </c>
      <c r="Z61" s="208">
        <v>0</v>
      </c>
      <c r="AA61" s="47">
        <f t="shared" si="38"/>
        <v>1800</v>
      </c>
      <c r="AB61" s="48">
        <f t="shared" si="37"/>
        <v>3.0252100840336134E-3</v>
      </c>
      <c r="AC61" s="49">
        <f t="shared" si="39"/>
        <v>0</v>
      </c>
      <c r="AD61" s="33">
        <f t="shared" si="3"/>
        <v>0</v>
      </c>
      <c r="AE61" s="54"/>
    </row>
    <row r="62" spans="1:31" ht="14.4" outlineLevel="1" x14ac:dyDescent="0.3">
      <c r="A62" s="40" t="str">
        <f>Parametrização!B41</f>
        <v>Instagram</v>
      </c>
      <c r="B62" s="53"/>
      <c r="C62" s="329"/>
      <c r="D62" s="329"/>
      <c r="E62" s="329"/>
      <c r="F62" s="208">
        <v>0</v>
      </c>
      <c r="G62" s="329"/>
      <c r="H62" s="208">
        <v>0</v>
      </c>
      <c r="I62" s="329"/>
      <c r="J62" s="208">
        <v>0</v>
      </c>
      <c r="K62" s="329"/>
      <c r="L62" s="208">
        <v>0</v>
      </c>
      <c r="M62" s="329"/>
      <c r="N62" s="208">
        <v>0</v>
      </c>
      <c r="O62" s="329"/>
      <c r="P62" s="208">
        <v>0</v>
      </c>
      <c r="Q62" s="329"/>
      <c r="R62" s="208">
        <v>0</v>
      </c>
      <c r="S62" s="329"/>
      <c r="T62" s="208">
        <v>0</v>
      </c>
      <c r="U62" s="329"/>
      <c r="V62" s="208">
        <v>0</v>
      </c>
      <c r="W62" s="329"/>
      <c r="X62" s="208">
        <v>0</v>
      </c>
      <c r="Y62" s="329"/>
      <c r="Z62" s="208">
        <v>0</v>
      </c>
      <c r="AA62" s="47">
        <f t="shared" si="38"/>
        <v>0</v>
      </c>
      <c r="AB62" s="48">
        <f t="shared" si="37"/>
        <v>0</v>
      </c>
      <c r="AC62" s="49">
        <f t="shared" si="39"/>
        <v>0</v>
      </c>
      <c r="AD62" s="33">
        <f t="shared" si="3"/>
        <v>0</v>
      </c>
      <c r="AE62" s="54"/>
    </row>
    <row r="63" spans="1:31" ht="14.4" x14ac:dyDescent="0.3">
      <c r="A63" s="50" t="str">
        <f>Parametrização!B45</f>
        <v>Despesas Financeiras</v>
      </c>
      <c r="B63" s="53"/>
      <c r="C63" s="204"/>
      <c r="D63" s="329"/>
      <c r="E63" s="204"/>
      <c r="F63" s="208">
        <v>0</v>
      </c>
      <c r="G63" s="204"/>
      <c r="H63" s="208">
        <v>0</v>
      </c>
      <c r="I63" s="204"/>
      <c r="J63" s="208">
        <v>0</v>
      </c>
      <c r="K63" s="204"/>
      <c r="L63" s="208">
        <v>0</v>
      </c>
      <c r="M63" s="204"/>
      <c r="N63" s="208">
        <v>0</v>
      </c>
      <c r="O63" s="204"/>
      <c r="P63" s="208">
        <v>0</v>
      </c>
      <c r="Q63" s="204"/>
      <c r="R63" s="208">
        <v>0</v>
      </c>
      <c r="S63" s="204"/>
      <c r="T63" s="208">
        <v>0</v>
      </c>
      <c r="U63" s="204"/>
      <c r="V63" s="208">
        <v>0</v>
      </c>
      <c r="W63" s="204"/>
      <c r="X63" s="208">
        <v>0</v>
      </c>
      <c r="Y63" s="204"/>
      <c r="Z63" s="208">
        <v>0</v>
      </c>
      <c r="AA63" s="47">
        <f t="shared" si="38"/>
        <v>0</v>
      </c>
      <c r="AB63" s="48">
        <f t="shared" si="37"/>
        <v>0</v>
      </c>
      <c r="AC63" s="49">
        <f t="shared" si="39"/>
        <v>0</v>
      </c>
      <c r="AD63" s="33">
        <f t="shared" si="3"/>
        <v>0</v>
      </c>
    </row>
    <row r="64" spans="1:31" ht="15.75" customHeight="1" x14ac:dyDescent="0.3">
      <c r="A64" s="27" t="s">
        <v>283</v>
      </c>
      <c r="B64" s="43"/>
      <c r="C64" s="44">
        <f>C34-C35</f>
        <v>-4486.6512941176516</v>
      </c>
      <c r="D64" s="326">
        <f>D34-D35</f>
        <v>0</v>
      </c>
      <c r="E64" s="44">
        <f t="shared" ref="E64:V64" si="41">E34-E35</f>
        <v>-2245.1807058823506</v>
      </c>
      <c r="F64" s="30">
        <f t="shared" si="41"/>
        <v>0</v>
      </c>
      <c r="G64" s="44">
        <f t="shared" si="41"/>
        <v>-3.7101176470569044</v>
      </c>
      <c r="H64" s="30">
        <f t="shared" si="41"/>
        <v>0</v>
      </c>
      <c r="I64" s="44">
        <f t="shared" si="41"/>
        <v>-3.7101176470569044</v>
      </c>
      <c r="J64" s="30">
        <f t="shared" si="41"/>
        <v>0</v>
      </c>
      <c r="K64" s="44">
        <f t="shared" si="41"/>
        <v>-3.7101176470569044</v>
      </c>
      <c r="L64" s="30">
        <f t="shared" si="41"/>
        <v>0</v>
      </c>
      <c r="M64" s="44">
        <f t="shared" si="41"/>
        <v>-4486.6512941176516</v>
      </c>
      <c r="N64" s="30">
        <f t="shared" si="41"/>
        <v>0</v>
      </c>
      <c r="O64" s="44">
        <f t="shared" si="41"/>
        <v>-4486.6512941176516</v>
      </c>
      <c r="P64" s="30">
        <f t="shared" si="41"/>
        <v>0</v>
      </c>
      <c r="Q64" s="44">
        <f t="shared" si="41"/>
        <v>-3.7101176470569044</v>
      </c>
      <c r="R64" s="30">
        <f t="shared" si="41"/>
        <v>0</v>
      </c>
      <c r="S64" s="44">
        <f t="shared" si="41"/>
        <v>-3.7101176470569044</v>
      </c>
      <c r="T64" s="30">
        <f t="shared" si="41"/>
        <v>0</v>
      </c>
      <c r="U64" s="44">
        <f t="shared" si="41"/>
        <v>-3.7101176470569044</v>
      </c>
      <c r="V64" s="30">
        <f t="shared" si="41"/>
        <v>0</v>
      </c>
      <c r="W64" s="44">
        <f>W34-W35</f>
        <v>-3.7101176470569044</v>
      </c>
      <c r="X64" s="30">
        <f>X34-X35</f>
        <v>0</v>
      </c>
      <c r="Y64" s="44">
        <f>Y34-Y35</f>
        <v>13445.113411764698</v>
      </c>
      <c r="Z64" s="30">
        <f>Z34-Z35</f>
        <v>0</v>
      </c>
      <c r="AA64" s="44">
        <f>AA34-AA35</f>
        <v>-2285.9919999999693</v>
      </c>
      <c r="AB64" s="31">
        <f>IFERROR((AA64/$AA$9),0)</f>
        <v>-3.8420033613444861E-3</v>
      </c>
      <c r="AC64" s="30">
        <f>AC34-AC35</f>
        <v>0</v>
      </c>
      <c r="AD64" s="33">
        <f t="shared" si="3"/>
        <v>0</v>
      </c>
      <c r="AE64" s="455">
        <f>+AA64/12</f>
        <v>-190.49933333333078</v>
      </c>
    </row>
    <row r="65" spans="1:30" ht="13.5" customHeight="1" x14ac:dyDescent="0.3">
      <c r="A65" s="27" t="s">
        <v>16</v>
      </c>
      <c r="B65" s="43"/>
      <c r="C65" s="28">
        <f t="shared" ref="C65:AA65" si="42">IFERROR((C64/C9),0)</f>
        <v>-0.11216628235294129</v>
      </c>
      <c r="D65" s="28">
        <f t="shared" si="42"/>
        <v>0</v>
      </c>
      <c r="E65" s="28">
        <f t="shared" si="42"/>
        <v>-4.9892904575163349E-2</v>
      </c>
      <c r="F65" s="28">
        <f t="shared" si="42"/>
        <v>0</v>
      </c>
      <c r="G65" s="28">
        <f t="shared" si="42"/>
        <v>-7.4202352941138086E-5</v>
      </c>
      <c r="H65" s="28">
        <f t="shared" si="42"/>
        <v>0</v>
      </c>
      <c r="I65" s="28">
        <f t="shared" si="42"/>
        <v>-7.4202352941138086E-5</v>
      </c>
      <c r="J65" s="28">
        <f t="shared" si="42"/>
        <v>0</v>
      </c>
      <c r="K65" s="28">
        <f t="shared" si="42"/>
        <v>-7.4202352941138086E-5</v>
      </c>
      <c r="L65" s="28">
        <f t="shared" si="42"/>
        <v>0</v>
      </c>
      <c r="M65" s="28">
        <f t="shared" si="42"/>
        <v>-0.11216628235294129</v>
      </c>
      <c r="N65" s="28">
        <f t="shared" si="42"/>
        <v>0</v>
      </c>
      <c r="O65" s="28">
        <f t="shared" si="42"/>
        <v>-0.11216628235294129</v>
      </c>
      <c r="P65" s="28">
        <f t="shared" si="42"/>
        <v>0</v>
      </c>
      <c r="Q65" s="28">
        <f t="shared" si="42"/>
        <v>-7.4202352941138086E-5</v>
      </c>
      <c r="R65" s="28">
        <f t="shared" si="42"/>
        <v>0</v>
      </c>
      <c r="S65" s="28">
        <f t="shared" si="42"/>
        <v>-7.4202352941138086E-5</v>
      </c>
      <c r="T65" s="28">
        <f t="shared" si="42"/>
        <v>0</v>
      </c>
      <c r="U65" s="28">
        <f t="shared" si="42"/>
        <v>-7.4202352941138086E-5</v>
      </c>
      <c r="V65" s="28">
        <f t="shared" si="42"/>
        <v>0</v>
      </c>
      <c r="W65" s="28">
        <f t="shared" si="42"/>
        <v>-7.4202352941138086E-5</v>
      </c>
      <c r="X65" s="28">
        <f t="shared" si="42"/>
        <v>0</v>
      </c>
      <c r="Y65" s="28">
        <f t="shared" si="42"/>
        <v>0.16806391764705872</v>
      </c>
      <c r="Z65" s="28">
        <f t="shared" si="42"/>
        <v>0</v>
      </c>
      <c r="AA65" s="28">
        <f t="shared" si="42"/>
        <v>-3.8420033613444861E-3</v>
      </c>
      <c r="AB65" s="55"/>
      <c r="AC65" s="33">
        <f>IFERROR((AC64/AC9),0)</f>
        <v>0</v>
      </c>
      <c r="AD65" s="56"/>
    </row>
    <row r="66" spans="1:30" s="140" customFormat="1" ht="14.4" x14ac:dyDescent="0.3">
      <c r="A66" s="196"/>
      <c r="B66" s="196"/>
      <c r="C66" s="197"/>
      <c r="D66" s="197"/>
      <c r="E66" s="197"/>
      <c r="F66" s="197"/>
      <c r="G66" s="197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  <c r="AB66" s="198"/>
      <c r="AC66" s="199"/>
      <c r="AD66" s="198"/>
    </row>
    <row r="67" spans="1:30" s="140" customFormat="1" ht="14.4" x14ac:dyDescent="0.3">
      <c r="A67" s="195" t="s">
        <v>284</v>
      </c>
      <c r="B67" s="129"/>
      <c r="C67" s="130"/>
      <c r="D67" s="131"/>
      <c r="E67" s="130" t="s">
        <v>0</v>
      </c>
      <c r="F67" s="131"/>
      <c r="G67" s="130"/>
      <c r="H67" s="131"/>
      <c r="I67" s="130"/>
      <c r="J67" s="131"/>
      <c r="K67" s="130"/>
      <c r="L67" s="131"/>
      <c r="M67" s="130"/>
      <c r="N67" s="131"/>
      <c r="O67" s="130"/>
      <c r="P67" s="131"/>
      <c r="Q67" s="130"/>
      <c r="R67" s="131"/>
      <c r="S67" s="130"/>
      <c r="T67" s="131"/>
      <c r="U67" s="130"/>
      <c r="V67" s="131"/>
      <c r="W67" s="130"/>
      <c r="X67" s="131"/>
      <c r="Y67" s="130"/>
      <c r="Z67" s="131"/>
      <c r="AA67" s="130"/>
      <c r="AB67" s="132"/>
      <c r="AC67" s="133"/>
      <c r="AD67" s="134"/>
    </row>
    <row r="68" spans="1:30" ht="15.75" customHeight="1" x14ac:dyDescent="0.3">
      <c r="A68" s="517" t="s">
        <v>285</v>
      </c>
      <c r="B68" s="517"/>
      <c r="C68" s="518">
        <v>0</v>
      </c>
      <c r="D68" s="518">
        <v>0</v>
      </c>
      <c r="E68" s="518">
        <v>0</v>
      </c>
      <c r="F68" s="518">
        <v>0</v>
      </c>
      <c r="G68" s="518">
        <v>0</v>
      </c>
      <c r="H68" s="518">
        <v>0</v>
      </c>
      <c r="I68" s="518">
        <v>0</v>
      </c>
      <c r="J68" s="518">
        <v>0</v>
      </c>
      <c r="K68" s="518">
        <v>0</v>
      </c>
      <c r="L68" s="518">
        <v>0</v>
      </c>
      <c r="M68" s="518">
        <v>0</v>
      </c>
      <c r="N68" s="518">
        <v>0</v>
      </c>
      <c r="O68" s="518">
        <v>0</v>
      </c>
      <c r="P68" s="518">
        <v>0</v>
      </c>
      <c r="Q68" s="518">
        <v>0</v>
      </c>
      <c r="R68" s="518">
        <v>0</v>
      </c>
      <c r="S68" s="518">
        <v>0</v>
      </c>
      <c r="T68" s="518">
        <v>0</v>
      </c>
      <c r="U68" s="518">
        <v>0</v>
      </c>
      <c r="V68" s="518">
        <v>0</v>
      </c>
      <c r="W68" s="518">
        <v>0</v>
      </c>
      <c r="X68" s="518">
        <v>0</v>
      </c>
      <c r="Y68" s="518">
        <v>0</v>
      </c>
      <c r="Z68" s="518">
        <v>0</v>
      </c>
      <c r="AA68" s="518">
        <v>0</v>
      </c>
      <c r="AB68" s="519"/>
      <c r="AC68" s="518">
        <v>0</v>
      </c>
      <c r="AD68" s="520"/>
    </row>
    <row r="69" spans="1:30" ht="15.75" customHeight="1" x14ac:dyDescent="0.3">
      <c r="A69" s="468" t="s">
        <v>286</v>
      </c>
      <c r="B69" s="469"/>
      <c r="C69" s="470">
        <f>IFERROR((+C70/C8),0)</f>
        <v>5000.8276079254692</v>
      </c>
      <c r="D69" s="470">
        <f t="shared" ref="D69:AA69" si="43">IFERROR((+D70/D8),0)</f>
        <v>0</v>
      </c>
      <c r="E69" s="470">
        <f t="shared" si="43"/>
        <v>5000.8276079254692</v>
      </c>
      <c r="F69" s="470">
        <f t="shared" si="43"/>
        <v>0</v>
      </c>
      <c r="G69" s="470">
        <f t="shared" si="43"/>
        <v>5000.8276079254692</v>
      </c>
      <c r="H69" s="470">
        <f t="shared" si="43"/>
        <v>0</v>
      </c>
      <c r="I69" s="470">
        <f t="shared" si="43"/>
        <v>5000.8276079254692</v>
      </c>
      <c r="J69" s="470">
        <f t="shared" si="43"/>
        <v>0</v>
      </c>
      <c r="K69" s="470">
        <f t="shared" si="43"/>
        <v>5000.8276079254692</v>
      </c>
      <c r="L69" s="470">
        <f t="shared" si="43"/>
        <v>0</v>
      </c>
      <c r="M69" s="470">
        <f t="shared" si="43"/>
        <v>5000.8276079254692</v>
      </c>
      <c r="N69" s="470">
        <f t="shared" si="43"/>
        <v>0</v>
      </c>
      <c r="O69" s="470">
        <f t="shared" si="43"/>
        <v>8123.7773520535357</v>
      </c>
      <c r="P69" s="470">
        <f t="shared" si="43"/>
        <v>0</v>
      </c>
      <c r="Q69" s="470">
        <f t="shared" si="43"/>
        <v>5000.8276079254692</v>
      </c>
      <c r="R69" s="470">
        <f t="shared" si="43"/>
        <v>0</v>
      </c>
      <c r="S69" s="470">
        <f t="shared" si="43"/>
        <v>5000.8276079254692</v>
      </c>
      <c r="T69" s="470">
        <f t="shared" si="43"/>
        <v>0</v>
      </c>
      <c r="U69" s="470">
        <f t="shared" si="43"/>
        <v>5000.8276079254692</v>
      </c>
      <c r="V69" s="470">
        <f t="shared" si="43"/>
        <v>0</v>
      </c>
      <c r="W69" s="470">
        <f t="shared" si="43"/>
        <v>5000.8276079254692</v>
      </c>
      <c r="X69" s="470">
        <f t="shared" si="43"/>
        <v>0</v>
      </c>
      <c r="Y69" s="470">
        <f t="shared" si="43"/>
        <v>5000.8276079254692</v>
      </c>
      <c r="Z69" s="470">
        <f t="shared" si="43"/>
        <v>0</v>
      </c>
      <c r="AA69" s="470">
        <f t="shared" si="43"/>
        <v>60009.93129510562</v>
      </c>
      <c r="AB69" s="471"/>
      <c r="AC69" s="472"/>
      <c r="AD69" s="468"/>
    </row>
    <row r="70" spans="1:30" ht="15.75" customHeight="1" x14ac:dyDescent="0.3">
      <c r="A70" s="494" t="s">
        <v>287</v>
      </c>
      <c r="B70" s="195"/>
      <c r="C70" s="311">
        <f>(C71+C72)/(C73-C68)</f>
        <v>50008.276079254691</v>
      </c>
      <c r="D70" s="311">
        <f t="shared" ref="D70:AA70" si="44">(D71+D72)/(D73-D68)</f>
        <v>0</v>
      </c>
      <c r="E70" s="311">
        <f t="shared" si="44"/>
        <v>50008.276079254691</v>
      </c>
      <c r="F70" s="311">
        <f t="shared" si="44"/>
        <v>0</v>
      </c>
      <c r="G70" s="311">
        <f t="shared" si="44"/>
        <v>50008.276079254691</v>
      </c>
      <c r="H70" s="311">
        <f t="shared" si="44"/>
        <v>0</v>
      </c>
      <c r="I70" s="311">
        <f t="shared" si="44"/>
        <v>50008.276079254691</v>
      </c>
      <c r="J70" s="311">
        <f t="shared" si="44"/>
        <v>0</v>
      </c>
      <c r="K70" s="311">
        <f t="shared" si="44"/>
        <v>50008.276079254691</v>
      </c>
      <c r="L70" s="311">
        <f t="shared" si="44"/>
        <v>0</v>
      </c>
      <c r="M70" s="311">
        <f t="shared" si="44"/>
        <v>50008.276079254691</v>
      </c>
      <c r="N70" s="311">
        <f t="shared" si="44"/>
        <v>0</v>
      </c>
      <c r="O70" s="311">
        <f t="shared" si="44"/>
        <v>81237.773520535353</v>
      </c>
      <c r="P70" s="311">
        <f t="shared" si="44"/>
        <v>0</v>
      </c>
      <c r="Q70" s="311">
        <f t="shared" si="44"/>
        <v>50008.276079254691</v>
      </c>
      <c r="R70" s="311">
        <f t="shared" si="44"/>
        <v>0</v>
      </c>
      <c r="S70" s="311">
        <f t="shared" si="44"/>
        <v>50008.276079254691</v>
      </c>
      <c r="T70" s="311">
        <f t="shared" si="44"/>
        <v>0</v>
      </c>
      <c r="U70" s="311">
        <f t="shared" si="44"/>
        <v>50008.276079254691</v>
      </c>
      <c r="V70" s="311">
        <f t="shared" si="44"/>
        <v>0</v>
      </c>
      <c r="W70" s="311">
        <f t="shared" si="44"/>
        <v>50008.276079254691</v>
      </c>
      <c r="X70" s="311">
        <f t="shared" si="44"/>
        <v>0</v>
      </c>
      <c r="Y70" s="311">
        <f t="shared" si="44"/>
        <v>50008.276079254691</v>
      </c>
      <c r="Z70" s="311">
        <f t="shared" si="44"/>
        <v>0</v>
      </c>
      <c r="AA70" s="311">
        <f t="shared" si="44"/>
        <v>600099.31295105617</v>
      </c>
      <c r="AB70" s="52"/>
      <c r="AC70" s="52">
        <f>AC71/(AC73-AC68)</f>
        <v>0</v>
      </c>
    </row>
    <row r="71" spans="1:30" ht="15.75" customHeight="1" x14ac:dyDescent="0.3">
      <c r="A71" s="494" t="s">
        <v>288</v>
      </c>
      <c r="B71" s="195"/>
      <c r="C71" s="52">
        <f>C19+C20+C21+C35</f>
        <v>22418.416000000001</v>
      </c>
      <c r="D71" s="52">
        <f>D19+D20+D21+D35</f>
        <v>0</v>
      </c>
      <c r="E71" s="52">
        <f t="shared" ref="E71:AC71" si="45">E19+E20+E21+E35</f>
        <v>22418.416000000001</v>
      </c>
      <c r="F71" s="52">
        <f t="shared" si="45"/>
        <v>0</v>
      </c>
      <c r="G71" s="52">
        <f t="shared" si="45"/>
        <v>22418.416000000001</v>
      </c>
      <c r="H71" s="52">
        <f t="shared" si="45"/>
        <v>0</v>
      </c>
      <c r="I71" s="52">
        <f t="shared" si="45"/>
        <v>22418.416000000001</v>
      </c>
      <c r="J71" s="52">
        <f t="shared" si="45"/>
        <v>0</v>
      </c>
      <c r="K71" s="52">
        <f t="shared" si="45"/>
        <v>22418.416000000001</v>
      </c>
      <c r="L71" s="52">
        <f t="shared" si="45"/>
        <v>0</v>
      </c>
      <c r="M71" s="52">
        <f t="shared" si="45"/>
        <v>22418.416000000001</v>
      </c>
      <c r="N71" s="52">
        <f t="shared" si="45"/>
        <v>0</v>
      </c>
      <c r="O71" s="52">
        <f t="shared" si="45"/>
        <v>22418.416000000001</v>
      </c>
      <c r="P71" s="52">
        <f t="shared" si="45"/>
        <v>0</v>
      </c>
      <c r="Q71" s="52">
        <f t="shared" si="45"/>
        <v>22418.416000000001</v>
      </c>
      <c r="R71" s="52">
        <f t="shared" si="45"/>
        <v>0</v>
      </c>
      <c r="S71" s="52">
        <f t="shared" si="45"/>
        <v>22418.416000000001</v>
      </c>
      <c r="T71" s="52">
        <f t="shared" si="45"/>
        <v>0</v>
      </c>
      <c r="U71" s="52">
        <f t="shared" si="45"/>
        <v>22418.416000000001</v>
      </c>
      <c r="V71" s="52">
        <f t="shared" si="45"/>
        <v>0</v>
      </c>
      <c r="W71" s="52">
        <f t="shared" si="45"/>
        <v>22418.416000000001</v>
      </c>
      <c r="X71" s="52">
        <f t="shared" si="45"/>
        <v>0</v>
      </c>
      <c r="Y71" s="52">
        <f t="shared" si="45"/>
        <v>22418.416000000001</v>
      </c>
      <c r="Z71" s="52">
        <f t="shared" si="45"/>
        <v>0</v>
      </c>
      <c r="AA71" s="52">
        <f t="shared" si="45"/>
        <v>269020.99199999997</v>
      </c>
      <c r="AB71" s="52"/>
      <c r="AC71" s="52">
        <f t="shared" si="45"/>
        <v>0</v>
      </c>
    </row>
    <row r="72" spans="1:30" ht="15.75" customHeight="1" x14ac:dyDescent="0.3">
      <c r="A72" s="494" t="s">
        <v>289</v>
      </c>
      <c r="B72" s="195"/>
      <c r="C72" s="52">
        <v>0</v>
      </c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>
        <v>14000</v>
      </c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</row>
    <row r="73" spans="1:30" ht="15.75" customHeight="1" x14ac:dyDescent="0.3">
      <c r="A73" s="195" t="s">
        <v>290</v>
      </c>
      <c r="B73" s="195"/>
      <c r="C73" s="67">
        <f>100%-$B$10-$B$18-$B$32-$B$33</f>
        <v>0.44829411764705884</v>
      </c>
      <c r="D73" s="67">
        <f t="shared" ref="D73:AC73" si="46">100%-$B$10-$B$18-$B$32-$B$33</f>
        <v>0.44829411764705884</v>
      </c>
      <c r="E73" s="67">
        <f t="shared" si="46"/>
        <v>0.44829411764705884</v>
      </c>
      <c r="F73" s="67">
        <f t="shared" si="46"/>
        <v>0.44829411764705884</v>
      </c>
      <c r="G73" s="67">
        <f t="shared" si="46"/>
        <v>0.44829411764705884</v>
      </c>
      <c r="H73" s="67">
        <f t="shared" si="46"/>
        <v>0.44829411764705884</v>
      </c>
      <c r="I73" s="67">
        <f t="shared" si="46"/>
        <v>0.44829411764705884</v>
      </c>
      <c r="J73" s="67">
        <f t="shared" si="46"/>
        <v>0.44829411764705884</v>
      </c>
      <c r="K73" s="67">
        <f t="shared" si="46"/>
        <v>0.44829411764705884</v>
      </c>
      <c r="L73" s="67">
        <f t="shared" si="46"/>
        <v>0.44829411764705884</v>
      </c>
      <c r="M73" s="67">
        <f t="shared" si="46"/>
        <v>0.44829411764705884</v>
      </c>
      <c r="N73" s="67">
        <f t="shared" si="46"/>
        <v>0.44829411764705884</v>
      </c>
      <c r="O73" s="67">
        <f t="shared" si="46"/>
        <v>0.44829411764705884</v>
      </c>
      <c r="P73" s="67">
        <f t="shared" si="46"/>
        <v>0.44829411764705884</v>
      </c>
      <c r="Q73" s="67">
        <f t="shared" si="46"/>
        <v>0.44829411764705884</v>
      </c>
      <c r="R73" s="67">
        <f t="shared" si="46"/>
        <v>0.44829411764705884</v>
      </c>
      <c r="S73" s="67">
        <f t="shared" si="46"/>
        <v>0.44829411764705884</v>
      </c>
      <c r="T73" s="67">
        <f t="shared" si="46"/>
        <v>0.44829411764705884</v>
      </c>
      <c r="U73" s="67">
        <f t="shared" si="46"/>
        <v>0.44829411764705884</v>
      </c>
      <c r="V73" s="67">
        <f t="shared" si="46"/>
        <v>0.44829411764705884</v>
      </c>
      <c r="W73" s="67">
        <f t="shared" si="46"/>
        <v>0.44829411764705884</v>
      </c>
      <c r="X73" s="67">
        <f t="shared" si="46"/>
        <v>0.44829411764705884</v>
      </c>
      <c r="Y73" s="67">
        <f t="shared" si="46"/>
        <v>0.44829411764705884</v>
      </c>
      <c r="Z73" s="67">
        <f t="shared" si="46"/>
        <v>0.44829411764705884</v>
      </c>
      <c r="AA73" s="67">
        <f t="shared" si="46"/>
        <v>0.44829411764705884</v>
      </c>
      <c r="AB73" s="67"/>
      <c r="AC73" s="67">
        <f t="shared" si="46"/>
        <v>0.44829411764705884</v>
      </c>
    </row>
    <row r="74" spans="1:30" ht="15.75" customHeight="1" x14ac:dyDescent="0.3">
      <c r="A74" s="195"/>
      <c r="B74" s="195"/>
      <c r="E74" s="521" t="s">
        <v>0</v>
      </c>
      <c r="AA74" s="187">
        <f>AA71/AA70</f>
        <v>0.44829411764705884</v>
      </c>
    </row>
    <row r="75" spans="1:30" ht="15.75" customHeight="1" x14ac:dyDescent="0.3">
      <c r="A75" s="195"/>
      <c r="B75" s="195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7"/>
      <c r="AC75" s="57"/>
    </row>
    <row r="76" spans="1:30" ht="15.75" customHeight="1" x14ac:dyDescent="0.3">
      <c r="C76" s="81"/>
      <c r="AA76" s="57">
        <f>AA7</f>
        <v>59500</v>
      </c>
      <c r="AB76" s="57"/>
    </row>
    <row r="77" spans="1:30" ht="15.75" customHeight="1" x14ac:dyDescent="0.3">
      <c r="AA77" s="57">
        <f>AA9</f>
        <v>595000</v>
      </c>
      <c r="AB77" s="57"/>
    </row>
    <row r="78" spans="1:30" ht="15.75" customHeight="1" x14ac:dyDescent="0.3">
      <c r="AA78" s="321">
        <f>AA10+AA17+AA31+AA35</f>
        <v>597285.99199999997</v>
      </c>
      <c r="AB78" s="57"/>
    </row>
    <row r="79" spans="1:30" ht="15.75" customHeight="1" x14ac:dyDescent="0.3">
      <c r="C79" s="494"/>
      <c r="E79" s="321"/>
      <c r="AA79" s="321">
        <f>AA77-AA78</f>
        <v>-2285.9919999999693</v>
      </c>
      <c r="AB79" s="57"/>
    </row>
    <row r="80" spans="1:30" ht="15.75" customHeight="1" x14ac:dyDescent="0.3">
      <c r="E80" s="321"/>
      <c r="AA80" s="187">
        <f>AA79/AA77</f>
        <v>-3.8420033613444861E-3</v>
      </c>
      <c r="AB80" s="57"/>
    </row>
    <row r="81" spans="4:28" ht="15.75" customHeight="1" x14ac:dyDescent="0.3">
      <c r="E81" s="321"/>
      <c r="AA81" s="187"/>
      <c r="AB81" s="57"/>
    </row>
    <row r="82" spans="4:28" ht="15.75" customHeight="1" x14ac:dyDescent="0.3">
      <c r="D82" s="322"/>
      <c r="E82" s="81"/>
      <c r="AB82" s="1"/>
    </row>
    <row r="83" spans="4:28" ht="15.75" customHeight="1" x14ac:dyDescent="0.3">
      <c r="E83" s="312"/>
      <c r="AB83" s="1"/>
    </row>
    <row r="84" spans="4:28" ht="15.75" customHeight="1" x14ac:dyDescent="0.3">
      <c r="AB84" s="1"/>
    </row>
    <row r="85" spans="4:28" ht="15.75" customHeight="1" x14ac:dyDescent="0.3">
      <c r="E85" s="83"/>
      <c r="AB85" s="1"/>
    </row>
    <row r="86" spans="4:28" ht="15.75" customHeight="1" x14ac:dyDescent="0.3">
      <c r="AB86" s="1"/>
    </row>
    <row r="87" spans="4:28" ht="15.75" customHeight="1" x14ac:dyDescent="0.3">
      <c r="AB87" s="1"/>
    </row>
    <row r="88" spans="4:28" ht="15.75" customHeight="1" x14ac:dyDescent="0.3">
      <c r="AB88" s="1"/>
    </row>
    <row r="89" spans="4:28" ht="15.75" customHeight="1" x14ac:dyDescent="0.3">
      <c r="AB89" s="1"/>
    </row>
    <row r="90" spans="4:28" ht="15.75" customHeight="1" x14ac:dyDescent="0.3">
      <c r="AB90" s="1"/>
    </row>
    <row r="91" spans="4:28" ht="15.75" customHeight="1" x14ac:dyDescent="0.3">
      <c r="AB91" s="1"/>
    </row>
    <row r="92" spans="4:28" ht="15.75" customHeight="1" x14ac:dyDescent="0.3">
      <c r="AB92" s="1"/>
    </row>
    <row r="93" spans="4:28" ht="15.75" customHeight="1" x14ac:dyDescent="0.3">
      <c r="AB93" s="1"/>
    </row>
    <row r="94" spans="4:28" ht="15.75" customHeight="1" x14ac:dyDescent="0.3">
      <c r="AB94" s="1"/>
    </row>
    <row r="95" spans="4:28" ht="15.75" customHeight="1" x14ac:dyDescent="0.3">
      <c r="AB95" s="1"/>
    </row>
    <row r="96" spans="4:28" ht="15.75" customHeight="1" x14ac:dyDescent="0.3">
      <c r="AB96" s="1"/>
    </row>
    <row r="97" spans="28:28" ht="15.75" customHeight="1" x14ac:dyDescent="0.3">
      <c r="AB97" s="1"/>
    </row>
    <row r="98" spans="28:28" ht="15.75" customHeight="1" x14ac:dyDescent="0.3">
      <c r="AB98" s="1"/>
    </row>
    <row r="99" spans="28:28" ht="15.75" customHeight="1" x14ac:dyDescent="0.3">
      <c r="AB99" s="1"/>
    </row>
    <row r="100" spans="28:28" ht="15.75" customHeight="1" x14ac:dyDescent="0.3">
      <c r="AB100" s="1"/>
    </row>
    <row r="101" spans="28:28" ht="15.75" customHeight="1" x14ac:dyDescent="0.3">
      <c r="AB101" s="1"/>
    </row>
    <row r="102" spans="28:28" ht="15.75" customHeight="1" x14ac:dyDescent="0.3">
      <c r="AB102" s="1"/>
    </row>
    <row r="103" spans="28:28" ht="15.75" customHeight="1" x14ac:dyDescent="0.3">
      <c r="AB103" s="1"/>
    </row>
    <row r="104" spans="28:28" ht="15.75" customHeight="1" x14ac:dyDescent="0.3">
      <c r="AB104" s="1"/>
    </row>
    <row r="105" spans="28:28" ht="15.75" customHeight="1" x14ac:dyDescent="0.3">
      <c r="AB105" s="1"/>
    </row>
    <row r="106" spans="28:28" ht="15.75" customHeight="1" x14ac:dyDescent="0.3">
      <c r="AB106" s="1"/>
    </row>
    <row r="107" spans="28:28" ht="15.75" customHeight="1" x14ac:dyDescent="0.3">
      <c r="AB107" s="1"/>
    </row>
    <row r="108" spans="28:28" ht="15.75" customHeight="1" x14ac:dyDescent="0.3">
      <c r="AB108" s="1"/>
    </row>
    <row r="109" spans="28:28" ht="15.75" customHeight="1" x14ac:dyDescent="0.3">
      <c r="AB109" s="1"/>
    </row>
    <row r="110" spans="28:28" ht="15.75" customHeight="1" x14ac:dyDescent="0.3">
      <c r="AB110" s="1"/>
    </row>
    <row r="111" spans="28:28" ht="15.75" customHeight="1" x14ac:dyDescent="0.3">
      <c r="AB111" s="1"/>
    </row>
    <row r="112" spans="28:28" ht="15.75" customHeight="1" x14ac:dyDescent="0.3">
      <c r="AB112" s="1"/>
    </row>
    <row r="113" spans="28:28" ht="15.75" customHeight="1" x14ac:dyDescent="0.3">
      <c r="AB113" s="1"/>
    </row>
    <row r="114" spans="28:28" ht="15.75" customHeight="1" x14ac:dyDescent="0.3">
      <c r="AB114" s="1"/>
    </row>
    <row r="115" spans="28:28" ht="15.75" customHeight="1" x14ac:dyDescent="0.3">
      <c r="AB115" s="1"/>
    </row>
    <row r="116" spans="28:28" ht="15.75" customHeight="1" x14ac:dyDescent="0.3">
      <c r="AB116" s="1"/>
    </row>
    <row r="117" spans="28:28" ht="15.75" customHeight="1" x14ac:dyDescent="0.3">
      <c r="AB117" s="1"/>
    </row>
    <row r="118" spans="28:28" ht="15.75" customHeight="1" x14ac:dyDescent="0.3">
      <c r="AB118" s="1"/>
    </row>
    <row r="119" spans="28:28" ht="15.75" customHeight="1" x14ac:dyDescent="0.3">
      <c r="AB119" s="1"/>
    </row>
    <row r="120" spans="28:28" ht="15.75" customHeight="1" x14ac:dyDescent="0.3">
      <c r="AB120" s="1"/>
    </row>
    <row r="121" spans="28:28" ht="15.75" customHeight="1" x14ac:dyDescent="0.3">
      <c r="AB121" s="1"/>
    </row>
    <row r="122" spans="28:28" ht="15.75" customHeight="1" x14ac:dyDescent="0.3">
      <c r="AB122" s="1"/>
    </row>
    <row r="123" spans="28:28" ht="15.75" customHeight="1" x14ac:dyDescent="0.3">
      <c r="AB123" s="1"/>
    </row>
    <row r="124" spans="28:28" ht="15.75" customHeight="1" x14ac:dyDescent="0.3">
      <c r="AB124" s="1"/>
    </row>
    <row r="125" spans="28:28" ht="15.75" customHeight="1" x14ac:dyDescent="0.3">
      <c r="AB125" s="1"/>
    </row>
    <row r="126" spans="28:28" ht="15.75" customHeight="1" x14ac:dyDescent="0.3">
      <c r="AB126" s="1"/>
    </row>
    <row r="127" spans="28:28" ht="15.75" customHeight="1" x14ac:dyDescent="0.3">
      <c r="AB127" s="1"/>
    </row>
    <row r="128" spans="28:28" ht="15.75" customHeight="1" x14ac:dyDescent="0.3">
      <c r="AB128" s="1"/>
    </row>
    <row r="129" spans="28:28" ht="15.75" customHeight="1" x14ac:dyDescent="0.3">
      <c r="AB129" s="1"/>
    </row>
    <row r="130" spans="28:28" ht="15.75" customHeight="1" x14ac:dyDescent="0.3">
      <c r="AB130" s="1"/>
    </row>
    <row r="131" spans="28:28" ht="15.75" customHeight="1" x14ac:dyDescent="0.3">
      <c r="AB131" s="1"/>
    </row>
    <row r="132" spans="28:28" ht="15.75" customHeight="1" x14ac:dyDescent="0.3">
      <c r="AB132" s="1"/>
    </row>
    <row r="133" spans="28:28" ht="15.75" customHeight="1" x14ac:dyDescent="0.3">
      <c r="AB133" s="1"/>
    </row>
    <row r="134" spans="28:28" ht="15.75" customHeight="1" x14ac:dyDescent="0.3">
      <c r="AB134" s="1"/>
    </row>
    <row r="135" spans="28:28" ht="15.75" customHeight="1" x14ac:dyDescent="0.3">
      <c r="AB135" s="1"/>
    </row>
    <row r="136" spans="28:28" ht="15.75" customHeight="1" x14ac:dyDescent="0.3">
      <c r="AB136" s="1"/>
    </row>
    <row r="137" spans="28:28" ht="15.75" customHeight="1" x14ac:dyDescent="0.3">
      <c r="AB137" s="1"/>
    </row>
    <row r="138" spans="28:28" ht="15.75" customHeight="1" x14ac:dyDescent="0.3">
      <c r="AB138" s="1"/>
    </row>
    <row r="139" spans="28:28" ht="15.75" customHeight="1" x14ac:dyDescent="0.3">
      <c r="AB139" s="1"/>
    </row>
    <row r="140" spans="28:28" ht="15.75" customHeight="1" x14ac:dyDescent="0.3">
      <c r="AB140" s="1"/>
    </row>
    <row r="141" spans="28:28" ht="15.75" customHeight="1" x14ac:dyDescent="0.3">
      <c r="AB141" s="1"/>
    </row>
    <row r="142" spans="28:28" ht="15.75" customHeight="1" x14ac:dyDescent="0.3">
      <c r="AB142" s="1"/>
    </row>
    <row r="143" spans="28:28" ht="15.75" customHeight="1" x14ac:dyDescent="0.3">
      <c r="AB143" s="1"/>
    </row>
    <row r="144" spans="28:28" ht="15.75" customHeight="1" x14ac:dyDescent="0.3">
      <c r="AB144" s="1"/>
    </row>
    <row r="145" spans="28:28" ht="15.75" customHeight="1" x14ac:dyDescent="0.3">
      <c r="AB145" s="1"/>
    </row>
    <row r="146" spans="28:28" ht="15.75" customHeight="1" x14ac:dyDescent="0.3">
      <c r="AB146" s="1"/>
    </row>
    <row r="147" spans="28:28" ht="15.75" customHeight="1" x14ac:dyDescent="0.3">
      <c r="AB147" s="1"/>
    </row>
    <row r="148" spans="28:28" ht="15.75" customHeight="1" x14ac:dyDescent="0.3">
      <c r="AB148" s="1"/>
    </row>
    <row r="149" spans="28:28" ht="15.75" customHeight="1" x14ac:dyDescent="0.3">
      <c r="AB149" s="1"/>
    </row>
    <row r="150" spans="28:28" ht="15.75" customHeight="1" x14ac:dyDescent="0.3">
      <c r="AB150" s="1"/>
    </row>
    <row r="151" spans="28:28" ht="15.75" customHeight="1" x14ac:dyDescent="0.3">
      <c r="AB151" s="1"/>
    </row>
    <row r="152" spans="28:28" ht="15.75" customHeight="1" x14ac:dyDescent="0.3">
      <c r="AB152" s="1"/>
    </row>
    <row r="153" spans="28:28" ht="15.75" customHeight="1" x14ac:dyDescent="0.3">
      <c r="AB153" s="1"/>
    </row>
    <row r="154" spans="28:28" ht="15.75" customHeight="1" x14ac:dyDescent="0.3">
      <c r="AB154" s="1"/>
    </row>
    <row r="155" spans="28:28" ht="15.75" customHeight="1" x14ac:dyDescent="0.3">
      <c r="AB155" s="1"/>
    </row>
    <row r="156" spans="28:28" ht="15.75" customHeight="1" x14ac:dyDescent="0.3">
      <c r="AB156" s="1"/>
    </row>
    <row r="157" spans="28:28" ht="15.75" customHeight="1" x14ac:dyDescent="0.3">
      <c r="AB157" s="1"/>
    </row>
    <row r="158" spans="28:28" ht="15.75" customHeight="1" x14ac:dyDescent="0.3">
      <c r="AB158" s="1"/>
    </row>
    <row r="159" spans="28:28" ht="15.75" customHeight="1" x14ac:dyDescent="0.3">
      <c r="AB159" s="1"/>
    </row>
    <row r="160" spans="28:28" ht="15.75" customHeight="1" x14ac:dyDescent="0.3">
      <c r="AB160" s="1"/>
    </row>
    <row r="161" spans="28:28" ht="15.75" customHeight="1" x14ac:dyDescent="0.3">
      <c r="AB161" s="1"/>
    </row>
    <row r="162" spans="28:28" ht="15.75" customHeight="1" x14ac:dyDescent="0.3">
      <c r="AB162" s="1"/>
    </row>
    <row r="163" spans="28:28" ht="15.75" customHeight="1" x14ac:dyDescent="0.3">
      <c r="AB163" s="1"/>
    </row>
    <row r="164" spans="28:28" ht="15.75" customHeight="1" x14ac:dyDescent="0.3">
      <c r="AB164" s="1"/>
    </row>
    <row r="165" spans="28:28" ht="15.75" customHeight="1" x14ac:dyDescent="0.3">
      <c r="AB165" s="1"/>
    </row>
    <row r="166" spans="28:28" ht="15.75" customHeight="1" x14ac:dyDescent="0.3">
      <c r="AB166" s="1"/>
    </row>
    <row r="167" spans="28:28" ht="15.75" customHeight="1" x14ac:dyDescent="0.3">
      <c r="AB167" s="1"/>
    </row>
    <row r="168" spans="28:28" ht="15.75" customHeight="1" x14ac:dyDescent="0.3">
      <c r="AB168" s="1"/>
    </row>
    <row r="169" spans="28:28" ht="15.75" customHeight="1" x14ac:dyDescent="0.3">
      <c r="AB169" s="1"/>
    </row>
    <row r="170" spans="28:28" ht="15.75" customHeight="1" x14ac:dyDescent="0.3">
      <c r="AB170" s="1"/>
    </row>
    <row r="171" spans="28:28" ht="15.75" customHeight="1" x14ac:dyDescent="0.3">
      <c r="AB171" s="1"/>
    </row>
    <row r="172" spans="28:28" ht="15.75" customHeight="1" x14ac:dyDescent="0.3">
      <c r="AB172" s="1"/>
    </row>
    <row r="173" spans="28:28" ht="15.75" customHeight="1" x14ac:dyDescent="0.3">
      <c r="AB173" s="1"/>
    </row>
    <row r="174" spans="28:28" ht="15.75" customHeight="1" x14ac:dyDescent="0.3">
      <c r="AB174" s="1"/>
    </row>
    <row r="175" spans="28:28" ht="15.75" customHeight="1" x14ac:dyDescent="0.3">
      <c r="AB175" s="1"/>
    </row>
    <row r="176" spans="28:28" ht="15.75" customHeight="1" x14ac:dyDescent="0.3">
      <c r="AB176" s="1"/>
    </row>
    <row r="177" spans="28:28" ht="15.75" customHeight="1" x14ac:dyDescent="0.3">
      <c r="AB177" s="1"/>
    </row>
    <row r="178" spans="28:28" ht="15.75" customHeight="1" x14ac:dyDescent="0.3">
      <c r="AB178" s="1"/>
    </row>
    <row r="179" spans="28:28" ht="15.75" customHeight="1" x14ac:dyDescent="0.3">
      <c r="AB179" s="1"/>
    </row>
    <row r="180" spans="28:28" ht="15.75" customHeight="1" x14ac:dyDescent="0.3">
      <c r="AB180" s="1"/>
    </row>
    <row r="181" spans="28:28" ht="15.75" customHeight="1" x14ac:dyDescent="0.3">
      <c r="AB181" s="1"/>
    </row>
    <row r="182" spans="28:28" ht="15.75" customHeight="1" x14ac:dyDescent="0.3">
      <c r="AB182" s="1"/>
    </row>
    <row r="183" spans="28:28" ht="15.75" customHeight="1" x14ac:dyDescent="0.3">
      <c r="AB183" s="1"/>
    </row>
    <row r="184" spans="28:28" ht="15.75" customHeight="1" x14ac:dyDescent="0.3">
      <c r="AB184" s="1"/>
    </row>
    <row r="185" spans="28:28" ht="15.75" customHeight="1" x14ac:dyDescent="0.3">
      <c r="AB185" s="1"/>
    </row>
    <row r="186" spans="28:28" ht="15.75" customHeight="1" x14ac:dyDescent="0.3">
      <c r="AB186" s="1"/>
    </row>
    <row r="187" spans="28:28" ht="15.75" customHeight="1" x14ac:dyDescent="0.3">
      <c r="AB187" s="1"/>
    </row>
    <row r="188" spans="28:28" ht="15.75" customHeight="1" x14ac:dyDescent="0.3">
      <c r="AB188" s="1"/>
    </row>
    <row r="189" spans="28:28" ht="15.75" customHeight="1" x14ac:dyDescent="0.3">
      <c r="AB189" s="1"/>
    </row>
    <row r="190" spans="28:28" ht="15.75" customHeight="1" x14ac:dyDescent="0.3">
      <c r="AB190" s="1"/>
    </row>
    <row r="191" spans="28:28" ht="15.75" customHeight="1" x14ac:dyDescent="0.3">
      <c r="AB191" s="1"/>
    </row>
    <row r="192" spans="28:28" ht="15.75" customHeight="1" x14ac:dyDescent="0.3">
      <c r="AB192" s="1"/>
    </row>
    <row r="193" spans="28:28" ht="15.75" customHeight="1" x14ac:dyDescent="0.3">
      <c r="AB193" s="1"/>
    </row>
    <row r="194" spans="28:28" ht="15.75" customHeight="1" x14ac:dyDescent="0.3">
      <c r="AB194" s="1"/>
    </row>
    <row r="195" spans="28:28" ht="15.75" customHeight="1" x14ac:dyDescent="0.3">
      <c r="AB195" s="1"/>
    </row>
    <row r="196" spans="28:28" ht="15.75" customHeight="1" x14ac:dyDescent="0.3">
      <c r="AB196" s="1"/>
    </row>
    <row r="197" spans="28:28" ht="15.75" customHeight="1" x14ac:dyDescent="0.3">
      <c r="AB197" s="1"/>
    </row>
    <row r="198" spans="28:28" ht="15.75" customHeight="1" x14ac:dyDescent="0.3">
      <c r="AB198" s="1"/>
    </row>
    <row r="199" spans="28:28" ht="15.75" customHeight="1" x14ac:dyDescent="0.3">
      <c r="AB199" s="1"/>
    </row>
    <row r="200" spans="28:28" ht="15.75" customHeight="1" x14ac:dyDescent="0.3">
      <c r="AB200" s="1"/>
    </row>
    <row r="201" spans="28:28" ht="15.75" customHeight="1" x14ac:dyDescent="0.3">
      <c r="AB201" s="1"/>
    </row>
    <row r="202" spans="28:28" ht="15.75" customHeight="1" x14ac:dyDescent="0.3">
      <c r="AB202" s="1"/>
    </row>
    <row r="203" spans="28:28" ht="15.75" customHeight="1" x14ac:dyDescent="0.3">
      <c r="AB203" s="1"/>
    </row>
    <row r="204" spans="28:28" ht="15.75" customHeight="1" x14ac:dyDescent="0.3">
      <c r="AB204" s="1"/>
    </row>
    <row r="205" spans="28:28" ht="15.75" customHeight="1" x14ac:dyDescent="0.3">
      <c r="AB205" s="1"/>
    </row>
    <row r="206" spans="28:28" ht="15.75" customHeight="1" x14ac:dyDescent="0.3">
      <c r="AB206" s="1"/>
    </row>
    <row r="207" spans="28:28" ht="15.75" customHeight="1" x14ac:dyDescent="0.3">
      <c r="AB207" s="1"/>
    </row>
    <row r="208" spans="28:28" ht="15.75" customHeight="1" x14ac:dyDescent="0.3">
      <c r="AB208" s="1"/>
    </row>
    <row r="209" spans="28:28" ht="15.75" customHeight="1" x14ac:dyDescent="0.3">
      <c r="AB209" s="1"/>
    </row>
    <row r="210" spans="28:28" ht="15.75" customHeight="1" x14ac:dyDescent="0.3">
      <c r="AB210" s="1"/>
    </row>
    <row r="211" spans="28:28" ht="15.75" customHeight="1" x14ac:dyDescent="0.3">
      <c r="AB211" s="1"/>
    </row>
    <row r="212" spans="28:28" ht="15.75" customHeight="1" x14ac:dyDescent="0.3">
      <c r="AB212" s="1"/>
    </row>
    <row r="213" spans="28:28" ht="15.75" customHeight="1" x14ac:dyDescent="0.3">
      <c r="AB213" s="1"/>
    </row>
    <row r="214" spans="28:28" ht="15.75" customHeight="1" x14ac:dyDescent="0.3">
      <c r="AB214" s="1"/>
    </row>
    <row r="215" spans="28:28" ht="15.75" customHeight="1" x14ac:dyDescent="0.3">
      <c r="AB215" s="1"/>
    </row>
    <row r="216" spans="28:28" ht="15.75" customHeight="1" x14ac:dyDescent="0.3">
      <c r="AB216" s="1"/>
    </row>
    <row r="217" spans="28:28" ht="15.75" customHeight="1" x14ac:dyDescent="0.3">
      <c r="AB217" s="1"/>
    </row>
    <row r="218" spans="28:28" ht="15.75" customHeight="1" x14ac:dyDescent="0.3">
      <c r="AB218" s="1"/>
    </row>
    <row r="219" spans="28:28" ht="15.75" customHeight="1" x14ac:dyDescent="0.3">
      <c r="AB219" s="1"/>
    </row>
    <row r="220" spans="28:28" ht="15.75" customHeight="1" x14ac:dyDescent="0.3">
      <c r="AB220" s="1"/>
    </row>
    <row r="221" spans="28:28" ht="15.75" customHeight="1" x14ac:dyDescent="0.3">
      <c r="AB221" s="1"/>
    </row>
    <row r="222" spans="28:28" ht="15.75" customHeight="1" x14ac:dyDescent="0.3">
      <c r="AB222" s="1"/>
    </row>
    <row r="223" spans="28:28" ht="15.75" customHeight="1" x14ac:dyDescent="0.3">
      <c r="AB223" s="1"/>
    </row>
    <row r="224" spans="28:28" ht="15.75" customHeight="1" x14ac:dyDescent="0.3">
      <c r="AB224" s="1"/>
    </row>
    <row r="225" spans="28:28" ht="15.75" customHeight="1" x14ac:dyDescent="0.3">
      <c r="AB225" s="1"/>
    </row>
    <row r="226" spans="28:28" ht="15.75" customHeight="1" x14ac:dyDescent="0.3">
      <c r="AB226" s="1"/>
    </row>
    <row r="227" spans="28:28" ht="15.75" customHeight="1" x14ac:dyDescent="0.3">
      <c r="AB227" s="1"/>
    </row>
    <row r="228" spans="28:28" ht="15.75" customHeight="1" x14ac:dyDescent="0.3">
      <c r="AB228" s="1"/>
    </row>
    <row r="229" spans="28:28" ht="15.75" customHeight="1" x14ac:dyDescent="0.3">
      <c r="AB229" s="1"/>
    </row>
    <row r="230" spans="28:28" ht="15.75" customHeight="1" x14ac:dyDescent="0.3">
      <c r="AB230" s="1"/>
    </row>
    <row r="231" spans="28:28" ht="15.75" customHeight="1" x14ac:dyDescent="0.3">
      <c r="AB231" s="1"/>
    </row>
    <row r="232" spans="28:28" ht="15.75" customHeight="1" x14ac:dyDescent="0.3">
      <c r="AB232" s="1"/>
    </row>
    <row r="233" spans="28:28" ht="15.75" customHeight="1" x14ac:dyDescent="0.3">
      <c r="AB233" s="1"/>
    </row>
    <row r="234" spans="28:28" ht="15.75" customHeight="1" x14ac:dyDescent="0.3">
      <c r="AB234" s="1"/>
    </row>
    <row r="235" spans="28:28" ht="15.75" customHeight="1" x14ac:dyDescent="0.3">
      <c r="AB235" s="1"/>
    </row>
    <row r="236" spans="28:28" ht="15.75" customHeight="1" x14ac:dyDescent="0.3">
      <c r="AB236" s="1"/>
    </row>
    <row r="237" spans="28:28" ht="15.75" customHeight="1" x14ac:dyDescent="0.3">
      <c r="AB237" s="1"/>
    </row>
    <row r="238" spans="28:28" ht="15.75" customHeight="1" x14ac:dyDescent="0.3">
      <c r="AB238" s="1"/>
    </row>
    <row r="239" spans="28:28" ht="15.75" customHeight="1" x14ac:dyDescent="0.3">
      <c r="AB239" s="1"/>
    </row>
    <row r="240" spans="28:28" ht="15.75" customHeight="1" x14ac:dyDescent="0.3">
      <c r="AB240" s="1"/>
    </row>
    <row r="241" spans="28:28" ht="15.75" customHeight="1" x14ac:dyDescent="0.3">
      <c r="AB241" s="1"/>
    </row>
    <row r="242" spans="28:28" ht="15.75" customHeight="1" x14ac:dyDescent="0.3">
      <c r="AB242" s="1"/>
    </row>
    <row r="243" spans="28:28" ht="15.75" customHeight="1" x14ac:dyDescent="0.3">
      <c r="AB243" s="1"/>
    </row>
    <row r="244" spans="28:28" ht="15.75" customHeight="1" x14ac:dyDescent="0.3">
      <c r="AB244" s="1"/>
    </row>
    <row r="245" spans="28:28" ht="15.75" customHeight="1" x14ac:dyDescent="0.3">
      <c r="AB245" s="1"/>
    </row>
    <row r="246" spans="28:28" ht="15.75" customHeight="1" x14ac:dyDescent="0.3">
      <c r="AB246" s="1"/>
    </row>
    <row r="247" spans="28:28" ht="15.75" customHeight="1" x14ac:dyDescent="0.3">
      <c r="AB247" s="1"/>
    </row>
    <row r="248" spans="28:28" ht="15.75" customHeight="1" x14ac:dyDescent="0.3">
      <c r="AB248" s="1"/>
    </row>
    <row r="249" spans="28:28" ht="15.75" customHeight="1" x14ac:dyDescent="0.3">
      <c r="AB249" s="1"/>
    </row>
    <row r="250" spans="28:28" ht="15.75" customHeight="1" x14ac:dyDescent="0.3">
      <c r="AB250" s="1"/>
    </row>
    <row r="251" spans="28:28" ht="15.75" customHeight="1" x14ac:dyDescent="0.3">
      <c r="AB251" s="1"/>
    </row>
    <row r="252" spans="28:28" ht="15.75" customHeight="1" x14ac:dyDescent="0.3">
      <c r="AB252" s="1"/>
    </row>
    <row r="253" spans="28:28" ht="15.75" customHeight="1" x14ac:dyDescent="0.3">
      <c r="AB253" s="1"/>
    </row>
    <row r="254" spans="28:28" ht="15.75" customHeight="1" x14ac:dyDescent="0.3">
      <c r="AB254" s="1"/>
    </row>
    <row r="255" spans="28:28" ht="15.75" customHeight="1" x14ac:dyDescent="0.3">
      <c r="AB255" s="1"/>
    </row>
    <row r="256" spans="28:28" ht="15.75" customHeight="1" x14ac:dyDescent="0.3">
      <c r="AB256" s="1"/>
    </row>
    <row r="257" spans="28:28" ht="15.75" customHeight="1" x14ac:dyDescent="0.3">
      <c r="AB257" s="1"/>
    </row>
    <row r="258" spans="28:28" ht="15.75" customHeight="1" x14ac:dyDescent="0.3">
      <c r="AB258" s="1"/>
    </row>
    <row r="259" spans="28:28" ht="15.75" customHeight="1" x14ac:dyDescent="0.3">
      <c r="AB259" s="1"/>
    </row>
    <row r="260" spans="28:28" ht="15.75" customHeight="1" x14ac:dyDescent="0.3">
      <c r="AB260" s="1"/>
    </row>
    <row r="261" spans="28:28" ht="15.75" customHeight="1" x14ac:dyDescent="0.3">
      <c r="AB261" s="1"/>
    </row>
    <row r="262" spans="28:28" ht="15.75" customHeight="1" x14ac:dyDescent="0.3">
      <c r="AB262" s="1"/>
    </row>
    <row r="263" spans="28:28" ht="15.75" customHeight="1" x14ac:dyDescent="0.3">
      <c r="AB263" s="1"/>
    </row>
    <row r="264" spans="28:28" ht="15.75" customHeight="1" x14ac:dyDescent="0.3">
      <c r="AB264" s="1"/>
    </row>
    <row r="265" spans="28:28" ht="15.75" customHeight="1" x14ac:dyDescent="0.3">
      <c r="AB265" s="1"/>
    </row>
    <row r="266" spans="28:28" ht="15.75" customHeight="1" x14ac:dyDescent="0.3">
      <c r="AB266" s="1"/>
    </row>
    <row r="267" spans="28:28" ht="15.75" customHeight="1" x14ac:dyDescent="0.3">
      <c r="AB267" s="1"/>
    </row>
    <row r="268" spans="28:28" ht="15.75" customHeight="1" x14ac:dyDescent="0.3">
      <c r="AB268" s="1"/>
    </row>
    <row r="269" spans="28:28" ht="15.75" customHeight="1" x14ac:dyDescent="0.3">
      <c r="AB269" s="1"/>
    </row>
    <row r="270" spans="28:28" ht="15.75" customHeight="1" x14ac:dyDescent="0.3">
      <c r="AB270" s="1"/>
    </row>
    <row r="271" spans="28:28" ht="15.75" customHeight="1" x14ac:dyDescent="0.3">
      <c r="AB271" s="1"/>
    </row>
    <row r="272" spans="28:28" ht="15.75" customHeight="1" x14ac:dyDescent="0.3">
      <c r="AB272" s="1"/>
    </row>
    <row r="273" spans="28:28" ht="15.75" customHeight="1" x14ac:dyDescent="0.3">
      <c r="AB273" s="1"/>
    </row>
    <row r="274" spans="28:28" ht="15.75" customHeight="1" x14ac:dyDescent="0.3">
      <c r="AB274" s="1"/>
    </row>
    <row r="275" spans="28:28" ht="15.75" customHeight="1" x14ac:dyDescent="0.3">
      <c r="AB275" s="1"/>
    </row>
    <row r="276" spans="28:28" ht="15.75" customHeight="1" x14ac:dyDescent="0.3">
      <c r="AB276" s="1"/>
    </row>
    <row r="277" spans="28:28" ht="15.75" customHeight="1" x14ac:dyDescent="0.3">
      <c r="AB277" s="1"/>
    </row>
    <row r="278" spans="28:28" ht="15.75" customHeight="1" x14ac:dyDescent="0.3">
      <c r="AB278" s="1"/>
    </row>
    <row r="279" spans="28:28" ht="15.75" customHeight="1" x14ac:dyDescent="0.3">
      <c r="AB279" s="1"/>
    </row>
    <row r="280" spans="28:28" ht="15.75" customHeight="1" x14ac:dyDescent="0.3">
      <c r="AB280" s="1"/>
    </row>
    <row r="281" spans="28:28" ht="15.75" customHeight="1" x14ac:dyDescent="0.3">
      <c r="AB281" s="1"/>
    </row>
    <row r="282" spans="28:28" ht="15.75" customHeight="1" x14ac:dyDescent="0.3">
      <c r="AB282" s="1"/>
    </row>
    <row r="283" spans="28:28" ht="15.75" customHeight="1" x14ac:dyDescent="0.3">
      <c r="AB283" s="1"/>
    </row>
    <row r="284" spans="28:28" ht="15.75" customHeight="1" x14ac:dyDescent="0.3">
      <c r="AB284" s="1"/>
    </row>
    <row r="285" spans="28:28" ht="15.75" customHeight="1" x14ac:dyDescent="0.3">
      <c r="AB285" s="1"/>
    </row>
    <row r="286" spans="28:28" ht="15.75" customHeight="1" x14ac:dyDescent="0.3">
      <c r="AB286" s="1"/>
    </row>
    <row r="287" spans="28:28" ht="15.75" customHeight="1" x14ac:dyDescent="0.3">
      <c r="AB287" s="1"/>
    </row>
    <row r="288" spans="28:28" ht="15.75" customHeight="1" x14ac:dyDescent="0.3">
      <c r="AB288" s="1"/>
    </row>
    <row r="289" spans="28:28" ht="15.75" customHeight="1" x14ac:dyDescent="0.3">
      <c r="AB289" s="1"/>
    </row>
    <row r="290" spans="28:28" ht="15.75" customHeight="1" x14ac:dyDescent="0.3">
      <c r="AB290" s="1"/>
    </row>
    <row r="291" spans="28:28" ht="15.75" customHeight="1" x14ac:dyDescent="0.3">
      <c r="AB291" s="1"/>
    </row>
    <row r="292" spans="28:28" ht="15.75" customHeight="1" x14ac:dyDescent="0.3">
      <c r="AB292" s="1"/>
    </row>
    <row r="293" spans="28:28" ht="15.75" customHeight="1" x14ac:dyDescent="0.3">
      <c r="AB293" s="1"/>
    </row>
    <row r="294" spans="28:28" ht="15.75" customHeight="1" x14ac:dyDescent="0.3">
      <c r="AB294" s="1"/>
    </row>
    <row r="295" spans="28:28" ht="15.75" customHeight="1" x14ac:dyDescent="0.3">
      <c r="AB295" s="1"/>
    </row>
    <row r="296" spans="28:28" ht="15.75" customHeight="1" x14ac:dyDescent="0.3">
      <c r="AB296" s="1"/>
    </row>
    <row r="297" spans="28:28" ht="15.75" customHeight="1" x14ac:dyDescent="0.3">
      <c r="AB297" s="1"/>
    </row>
    <row r="298" spans="28:28" ht="15.75" customHeight="1" x14ac:dyDescent="0.3">
      <c r="AB298" s="1"/>
    </row>
    <row r="299" spans="28:28" ht="15.75" customHeight="1" x14ac:dyDescent="0.3">
      <c r="AB299" s="1"/>
    </row>
    <row r="300" spans="28:28" ht="15.75" customHeight="1" x14ac:dyDescent="0.3">
      <c r="AB300" s="1"/>
    </row>
    <row r="301" spans="28:28" ht="15.75" customHeight="1" x14ac:dyDescent="0.3">
      <c r="AB301" s="1"/>
    </row>
    <row r="302" spans="28:28" ht="15.75" customHeight="1" x14ac:dyDescent="0.3">
      <c r="AB302" s="1"/>
    </row>
    <row r="303" spans="28:28" ht="15.75" customHeight="1" x14ac:dyDescent="0.3">
      <c r="AB303" s="1"/>
    </row>
    <row r="304" spans="28:28" ht="15.75" customHeight="1" x14ac:dyDescent="0.3">
      <c r="AB304" s="1"/>
    </row>
    <row r="305" spans="28:28" ht="15.75" customHeight="1" x14ac:dyDescent="0.3">
      <c r="AB305" s="1"/>
    </row>
    <row r="306" spans="28:28" ht="15.75" customHeight="1" x14ac:dyDescent="0.3">
      <c r="AB306" s="1"/>
    </row>
    <row r="307" spans="28:28" ht="15.75" customHeight="1" x14ac:dyDescent="0.3">
      <c r="AB307" s="1"/>
    </row>
    <row r="308" spans="28:28" ht="15.75" customHeight="1" x14ac:dyDescent="0.3">
      <c r="AB308" s="1"/>
    </row>
    <row r="309" spans="28:28" ht="15.75" customHeight="1" x14ac:dyDescent="0.3">
      <c r="AB309" s="1"/>
    </row>
    <row r="310" spans="28:28" ht="15.75" customHeight="1" x14ac:dyDescent="0.3">
      <c r="AB310" s="1"/>
    </row>
    <row r="311" spans="28:28" ht="15.75" customHeight="1" x14ac:dyDescent="0.3">
      <c r="AB311" s="1"/>
    </row>
    <row r="312" spans="28:28" ht="15.75" customHeight="1" x14ac:dyDescent="0.3">
      <c r="AB312" s="1"/>
    </row>
    <row r="313" spans="28:28" ht="15.75" customHeight="1" x14ac:dyDescent="0.3">
      <c r="AB313" s="1"/>
    </row>
    <row r="314" spans="28:28" ht="15.75" customHeight="1" x14ac:dyDescent="0.3">
      <c r="AB314" s="1"/>
    </row>
    <row r="315" spans="28:28" ht="15.75" customHeight="1" x14ac:dyDescent="0.3">
      <c r="AB315" s="1"/>
    </row>
    <row r="316" spans="28:28" ht="15.75" customHeight="1" x14ac:dyDescent="0.3">
      <c r="AB316" s="1"/>
    </row>
    <row r="317" spans="28:28" ht="15.75" customHeight="1" x14ac:dyDescent="0.3">
      <c r="AB317" s="1"/>
    </row>
    <row r="318" spans="28:28" ht="15.75" customHeight="1" x14ac:dyDescent="0.3">
      <c r="AB318" s="1"/>
    </row>
    <row r="319" spans="28:28" ht="15.75" customHeight="1" x14ac:dyDescent="0.3">
      <c r="AB319" s="1"/>
    </row>
    <row r="320" spans="28:28" ht="15.75" customHeight="1" x14ac:dyDescent="0.3">
      <c r="AB320" s="1"/>
    </row>
    <row r="321" spans="28:28" ht="15.75" customHeight="1" x14ac:dyDescent="0.3">
      <c r="AB321" s="1"/>
    </row>
    <row r="322" spans="28:28" ht="15.75" customHeight="1" x14ac:dyDescent="0.3">
      <c r="AB322" s="1"/>
    </row>
    <row r="323" spans="28:28" ht="15.75" customHeight="1" x14ac:dyDescent="0.3">
      <c r="AB323" s="1"/>
    </row>
    <row r="324" spans="28:28" ht="15.75" customHeight="1" x14ac:dyDescent="0.3">
      <c r="AB324" s="1"/>
    </row>
    <row r="325" spans="28:28" ht="15.75" customHeight="1" x14ac:dyDescent="0.3">
      <c r="AB325" s="1"/>
    </row>
    <row r="326" spans="28:28" ht="15.75" customHeight="1" x14ac:dyDescent="0.3">
      <c r="AB326" s="1"/>
    </row>
    <row r="327" spans="28:28" ht="15.75" customHeight="1" x14ac:dyDescent="0.3">
      <c r="AB327" s="1"/>
    </row>
    <row r="328" spans="28:28" ht="15.75" customHeight="1" x14ac:dyDescent="0.3">
      <c r="AB328" s="1"/>
    </row>
    <row r="329" spans="28:28" ht="15.75" customHeight="1" x14ac:dyDescent="0.3">
      <c r="AB329" s="1"/>
    </row>
    <row r="330" spans="28:28" ht="15.75" customHeight="1" x14ac:dyDescent="0.3">
      <c r="AB330" s="1"/>
    </row>
    <row r="331" spans="28:28" ht="15.75" customHeight="1" x14ac:dyDescent="0.3">
      <c r="AB331" s="1"/>
    </row>
    <row r="332" spans="28:28" ht="15.75" customHeight="1" x14ac:dyDescent="0.3">
      <c r="AB332" s="1"/>
    </row>
    <row r="333" spans="28:28" ht="15.75" customHeight="1" x14ac:dyDescent="0.3">
      <c r="AB333" s="1"/>
    </row>
    <row r="334" spans="28:28" ht="15.75" customHeight="1" x14ac:dyDescent="0.3">
      <c r="AB334" s="1"/>
    </row>
    <row r="335" spans="28:28" ht="15.75" customHeight="1" x14ac:dyDescent="0.3">
      <c r="AB335" s="1"/>
    </row>
    <row r="336" spans="28:28" ht="15.75" customHeight="1" x14ac:dyDescent="0.3">
      <c r="AB336" s="1"/>
    </row>
    <row r="337" spans="28:28" ht="15.75" customHeight="1" x14ac:dyDescent="0.3">
      <c r="AB337" s="1"/>
    </row>
    <row r="338" spans="28:28" ht="15.75" customHeight="1" x14ac:dyDescent="0.3">
      <c r="AB338" s="1"/>
    </row>
    <row r="339" spans="28:28" ht="15.75" customHeight="1" x14ac:dyDescent="0.3">
      <c r="AB339" s="1"/>
    </row>
    <row r="340" spans="28:28" ht="15.75" customHeight="1" x14ac:dyDescent="0.3">
      <c r="AB340" s="1"/>
    </row>
    <row r="341" spans="28:28" ht="15.75" customHeight="1" x14ac:dyDescent="0.3">
      <c r="AB341" s="1"/>
    </row>
    <row r="342" spans="28:28" ht="15.75" customHeight="1" x14ac:dyDescent="0.3">
      <c r="AB342" s="1"/>
    </row>
    <row r="343" spans="28:28" ht="15.75" customHeight="1" x14ac:dyDescent="0.3">
      <c r="AB343" s="1"/>
    </row>
    <row r="344" spans="28:28" ht="15.75" customHeight="1" x14ac:dyDescent="0.3">
      <c r="AB344" s="1"/>
    </row>
    <row r="345" spans="28:28" ht="15.75" customHeight="1" x14ac:dyDescent="0.3">
      <c r="AB345" s="1"/>
    </row>
    <row r="346" spans="28:28" ht="15.75" customHeight="1" x14ac:dyDescent="0.3">
      <c r="AB346" s="1"/>
    </row>
    <row r="347" spans="28:28" ht="15.75" customHeight="1" x14ac:dyDescent="0.3">
      <c r="AB347" s="1"/>
    </row>
    <row r="348" spans="28:28" ht="15.75" customHeight="1" x14ac:dyDescent="0.3">
      <c r="AB348" s="1"/>
    </row>
    <row r="349" spans="28:28" ht="15.75" customHeight="1" x14ac:dyDescent="0.3">
      <c r="AB349" s="1"/>
    </row>
    <row r="350" spans="28:28" ht="15.75" customHeight="1" x14ac:dyDescent="0.3">
      <c r="AB350" s="1"/>
    </row>
    <row r="351" spans="28:28" ht="15.75" customHeight="1" x14ac:dyDescent="0.3">
      <c r="AB351" s="1"/>
    </row>
    <row r="352" spans="28:28" ht="15.75" customHeight="1" x14ac:dyDescent="0.3">
      <c r="AB352" s="1"/>
    </row>
    <row r="353" spans="28:28" ht="15.75" customHeight="1" x14ac:dyDescent="0.3">
      <c r="AB353" s="1"/>
    </row>
    <row r="354" spans="28:28" ht="15.75" customHeight="1" x14ac:dyDescent="0.3">
      <c r="AB354" s="1"/>
    </row>
    <row r="355" spans="28:28" ht="15.75" customHeight="1" x14ac:dyDescent="0.3">
      <c r="AB355" s="1"/>
    </row>
    <row r="356" spans="28:28" ht="15.75" customHeight="1" x14ac:dyDescent="0.3">
      <c r="AB356" s="1"/>
    </row>
    <row r="357" spans="28:28" ht="15.75" customHeight="1" x14ac:dyDescent="0.3">
      <c r="AB357" s="1"/>
    </row>
    <row r="358" spans="28:28" ht="15.75" customHeight="1" x14ac:dyDescent="0.3">
      <c r="AB358" s="1"/>
    </row>
    <row r="359" spans="28:28" ht="15.75" customHeight="1" x14ac:dyDescent="0.3">
      <c r="AB359" s="1"/>
    </row>
    <row r="360" spans="28:28" ht="15.75" customHeight="1" x14ac:dyDescent="0.3">
      <c r="AB360" s="1"/>
    </row>
    <row r="361" spans="28:28" ht="15.75" customHeight="1" x14ac:dyDescent="0.3">
      <c r="AB361" s="1"/>
    </row>
    <row r="362" spans="28:28" ht="15.75" customHeight="1" x14ac:dyDescent="0.3">
      <c r="AB362" s="1"/>
    </row>
    <row r="363" spans="28:28" ht="15.75" customHeight="1" x14ac:dyDescent="0.3">
      <c r="AB363" s="1"/>
    </row>
    <row r="364" spans="28:28" ht="15.75" customHeight="1" x14ac:dyDescent="0.3">
      <c r="AB364" s="1"/>
    </row>
    <row r="365" spans="28:28" ht="15.75" customHeight="1" x14ac:dyDescent="0.3">
      <c r="AB365" s="1"/>
    </row>
    <row r="366" spans="28:28" ht="15.75" customHeight="1" x14ac:dyDescent="0.3">
      <c r="AB366" s="1"/>
    </row>
    <row r="367" spans="28:28" ht="15.75" customHeight="1" x14ac:dyDescent="0.3">
      <c r="AB367" s="1"/>
    </row>
    <row r="368" spans="28:28" ht="15.75" customHeight="1" x14ac:dyDescent="0.3">
      <c r="AB368" s="1"/>
    </row>
    <row r="369" spans="28:28" ht="15.75" customHeight="1" x14ac:dyDescent="0.3">
      <c r="AB369" s="1"/>
    </row>
    <row r="370" spans="28:28" ht="15.75" customHeight="1" x14ac:dyDescent="0.3">
      <c r="AB370" s="1"/>
    </row>
    <row r="371" spans="28:28" ht="15.75" customHeight="1" x14ac:dyDescent="0.3">
      <c r="AB371" s="1"/>
    </row>
    <row r="372" spans="28:28" ht="15.75" customHeight="1" x14ac:dyDescent="0.3">
      <c r="AB372" s="1"/>
    </row>
    <row r="373" spans="28:28" ht="15.75" customHeight="1" x14ac:dyDescent="0.3">
      <c r="AB373" s="1"/>
    </row>
    <row r="374" spans="28:28" ht="15.75" customHeight="1" x14ac:dyDescent="0.3">
      <c r="AB374" s="1"/>
    </row>
    <row r="375" spans="28:28" ht="15.75" customHeight="1" x14ac:dyDescent="0.3">
      <c r="AB375" s="1"/>
    </row>
    <row r="376" spans="28:28" ht="15.75" customHeight="1" x14ac:dyDescent="0.3">
      <c r="AB376" s="1"/>
    </row>
    <row r="377" spans="28:28" ht="15.75" customHeight="1" x14ac:dyDescent="0.3">
      <c r="AB377" s="1"/>
    </row>
    <row r="378" spans="28:28" ht="15.75" customHeight="1" x14ac:dyDescent="0.3">
      <c r="AB378" s="1"/>
    </row>
    <row r="379" spans="28:28" ht="15.75" customHeight="1" x14ac:dyDescent="0.3">
      <c r="AB379" s="1"/>
    </row>
    <row r="380" spans="28:28" ht="15.75" customHeight="1" x14ac:dyDescent="0.3">
      <c r="AB380" s="1"/>
    </row>
    <row r="381" spans="28:28" ht="15.75" customHeight="1" x14ac:dyDescent="0.3">
      <c r="AB381" s="1"/>
    </row>
    <row r="382" spans="28:28" ht="15.75" customHeight="1" x14ac:dyDescent="0.3">
      <c r="AB382" s="1"/>
    </row>
    <row r="383" spans="28:28" ht="15.75" customHeight="1" x14ac:dyDescent="0.3">
      <c r="AB383" s="1"/>
    </row>
    <row r="384" spans="28:28" ht="15.75" customHeight="1" x14ac:dyDescent="0.3">
      <c r="AB384" s="1"/>
    </row>
    <row r="385" spans="28:28" ht="15.75" customHeight="1" x14ac:dyDescent="0.3">
      <c r="AB385" s="1"/>
    </row>
    <row r="386" spans="28:28" ht="15.75" customHeight="1" x14ac:dyDescent="0.3">
      <c r="AB386" s="1"/>
    </row>
    <row r="387" spans="28:28" ht="15.75" customHeight="1" x14ac:dyDescent="0.3">
      <c r="AB387" s="1"/>
    </row>
    <row r="388" spans="28:28" ht="15.75" customHeight="1" x14ac:dyDescent="0.3">
      <c r="AB388" s="1"/>
    </row>
    <row r="389" spans="28:28" ht="15.75" customHeight="1" x14ac:dyDescent="0.3">
      <c r="AB389" s="1"/>
    </row>
    <row r="390" spans="28:28" ht="15.75" customHeight="1" x14ac:dyDescent="0.3">
      <c r="AB390" s="1"/>
    </row>
    <row r="391" spans="28:28" ht="15.75" customHeight="1" x14ac:dyDescent="0.3">
      <c r="AB391" s="1"/>
    </row>
    <row r="392" spans="28:28" ht="15.75" customHeight="1" x14ac:dyDescent="0.3">
      <c r="AB392" s="1"/>
    </row>
    <row r="393" spans="28:28" ht="15.75" customHeight="1" x14ac:dyDescent="0.3">
      <c r="AB393" s="1"/>
    </row>
    <row r="394" spans="28:28" ht="15.75" customHeight="1" x14ac:dyDescent="0.3">
      <c r="AB394" s="1"/>
    </row>
    <row r="395" spans="28:28" ht="15.75" customHeight="1" x14ac:dyDescent="0.3">
      <c r="AB395" s="1"/>
    </row>
    <row r="396" spans="28:28" ht="15.75" customHeight="1" x14ac:dyDescent="0.3">
      <c r="AB396" s="1"/>
    </row>
    <row r="397" spans="28:28" ht="15.75" customHeight="1" x14ac:dyDescent="0.3">
      <c r="AB397" s="1"/>
    </row>
    <row r="398" spans="28:28" ht="15.75" customHeight="1" x14ac:dyDescent="0.3">
      <c r="AB398" s="1"/>
    </row>
    <row r="399" spans="28:28" ht="15.75" customHeight="1" x14ac:dyDescent="0.3">
      <c r="AB399" s="1"/>
    </row>
    <row r="400" spans="28:28" ht="15.75" customHeight="1" x14ac:dyDescent="0.3">
      <c r="AB400" s="1"/>
    </row>
    <row r="401" spans="28:28" ht="15.75" customHeight="1" x14ac:dyDescent="0.3">
      <c r="AB401" s="1"/>
    </row>
    <row r="402" spans="28:28" ht="15.75" customHeight="1" x14ac:dyDescent="0.3">
      <c r="AB402" s="1"/>
    </row>
    <row r="403" spans="28:28" ht="15.75" customHeight="1" x14ac:dyDescent="0.3">
      <c r="AB403" s="1"/>
    </row>
    <row r="404" spans="28:28" ht="15.75" customHeight="1" x14ac:dyDescent="0.3">
      <c r="AB404" s="1"/>
    </row>
    <row r="405" spans="28:28" ht="15.75" customHeight="1" x14ac:dyDescent="0.3">
      <c r="AB405" s="1"/>
    </row>
    <row r="406" spans="28:28" ht="15.75" customHeight="1" x14ac:dyDescent="0.3">
      <c r="AB406" s="1"/>
    </row>
    <row r="407" spans="28:28" ht="15.75" customHeight="1" x14ac:dyDescent="0.3">
      <c r="AB407" s="1"/>
    </row>
    <row r="408" spans="28:28" ht="15.75" customHeight="1" x14ac:dyDescent="0.3">
      <c r="AB408" s="1"/>
    </row>
    <row r="409" spans="28:28" ht="15.75" customHeight="1" x14ac:dyDescent="0.3">
      <c r="AB409" s="1"/>
    </row>
    <row r="410" spans="28:28" ht="15.75" customHeight="1" x14ac:dyDescent="0.3">
      <c r="AB410" s="1"/>
    </row>
    <row r="411" spans="28:28" ht="15.75" customHeight="1" x14ac:dyDescent="0.3">
      <c r="AB411" s="1"/>
    </row>
    <row r="412" spans="28:28" ht="15.75" customHeight="1" x14ac:dyDescent="0.3">
      <c r="AB412" s="1"/>
    </row>
    <row r="413" spans="28:28" ht="15.75" customHeight="1" x14ac:dyDescent="0.3">
      <c r="AB413" s="1"/>
    </row>
    <row r="414" spans="28:28" ht="15.75" customHeight="1" x14ac:dyDescent="0.3">
      <c r="AB414" s="1"/>
    </row>
    <row r="415" spans="28:28" ht="15.75" customHeight="1" x14ac:dyDescent="0.3">
      <c r="AB415" s="1"/>
    </row>
    <row r="416" spans="28:28" ht="15.75" customHeight="1" x14ac:dyDescent="0.3">
      <c r="AB416" s="1"/>
    </row>
    <row r="417" spans="28:28" ht="15.75" customHeight="1" x14ac:dyDescent="0.3">
      <c r="AB417" s="1"/>
    </row>
    <row r="418" spans="28:28" ht="15.75" customHeight="1" x14ac:dyDescent="0.3">
      <c r="AB418" s="1"/>
    </row>
    <row r="419" spans="28:28" ht="15.75" customHeight="1" x14ac:dyDescent="0.3">
      <c r="AB419" s="1"/>
    </row>
    <row r="420" spans="28:28" ht="15.75" customHeight="1" x14ac:dyDescent="0.3">
      <c r="AB420" s="1"/>
    </row>
    <row r="421" spans="28:28" ht="15.75" customHeight="1" x14ac:dyDescent="0.3">
      <c r="AB421" s="1"/>
    </row>
    <row r="422" spans="28:28" ht="15.75" customHeight="1" x14ac:dyDescent="0.3">
      <c r="AB422" s="1"/>
    </row>
    <row r="423" spans="28:28" ht="15.75" customHeight="1" x14ac:dyDescent="0.3">
      <c r="AB423" s="1"/>
    </row>
    <row r="424" spans="28:28" ht="15.75" customHeight="1" x14ac:dyDescent="0.3">
      <c r="AB424" s="1"/>
    </row>
    <row r="425" spans="28:28" ht="15.75" customHeight="1" x14ac:dyDescent="0.3">
      <c r="AB425" s="1"/>
    </row>
    <row r="426" spans="28:28" ht="15.75" customHeight="1" x14ac:dyDescent="0.3">
      <c r="AB426" s="1"/>
    </row>
    <row r="427" spans="28:28" ht="15.75" customHeight="1" x14ac:dyDescent="0.3">
      <c r="AB427" s="1"/>
    </row>
    <row r="428" spans="28:28" ht="15.75" customHeight="1" x14ac:dyDescent="0.3">
      <c r="AB428" s="1"/>
    </row>
    <row r="429" spans="28:28" ht="15.75" customHeight="1" x14ac:dyDescent="0.3">
      <c r="AB429" s="1"/>
    </row>
    <row r="430" spans="28:28" ht="15.75" customHeight="1" x14ac:dyDescent="0.3">
      <c r="AB430" s="1"/>
    </row>
    <row r="431" spans="28:28" ht="15.75" customHeight="1" x14ac:dyDescent="0.3">
      <c r="AB431" s="1"/>
    </row>
    <row r="432" spans="28:28" ht="15.75" customHeight="1" x14ac:dyDescent="0.3">
      <c r="AB432" s="1"/>
    </row>
    <row r="433" spans="28:28" ht="15.75" customHeight="1" x14ac:dyDescent="0.3">
      <c r="AB433" s="1"/>
    </row>
    <row r="434" spans="28:28" ht="15.75" customHeight="1" x14ac:dyDescent="0.3">
      <c r="AB434" s="1"/>
    </row>
    <row r="435" spans="28:28" ht="15.75" customHeight="1" x14ac:dyDescent="0.3">
      <c r="AB435" s="1"/>
    </row>
    <row r="436" spans="28:28" ht="15.75" customHeight="1" x14ac:dyDescent="0.3">
      <c r="AB436" s="1"/>
    </row>
    <row r="437" spans="28:28" ht="15.75" customHeight="1" x14ac:dyDescent="0.3">
      <c r="AB437" s="1"/>
    </row>
    <row r="438" spans="28:28" ht="15.75" customHeight="1" x14ac:dyDescent="0.3">
      <c r="AB438" s="1"/>
    </row>
    <row r="439" spans="28:28" ht="15.75" customHeight="1" x14ac:dyDescent="0.3">
      <c r="AB439" s="1"/>
    </row>
    <row r="440" spans="28:28" ht="15.75" customHeight="1" x14ac:dyDescent="0.3">
      <c r="AB440" s="1"/>
    </row>
    <row r="441" spans="28:28" ht="15.75" customHeight="1" x14ac:dyDescent="0.3">
      <c r="AB441" s="1"/>
    </row>
    <row r="442" spans="28:28" ht="15.75" customHeight="1" x14ac:dyDescent="0.3">
      <c r="AB442" s="1"/>
    </row>
    <row r="443" spans="28:28" ht="15.75" customHeight="1" x14ac:dyDescent="0.3">
      <c r="AB443" s="1"/>
    </row>
    <row r="444" spans="28:28" ht="15.75" customHeight="1" x14ac:dyDescent="0.3">
      <c r="AB444" s="1"/>
    </row>
    <row r="445" spans="28:28" ht="15.75" customHeight="1" x14ac:dyDescent="0.3">
      <c r="AB445" s="1"/>
    </row>
    <row r="446" spans="28:28" ht="15.75" customHeight="1" x14ac:dyDescent="0.3">
      <c r="AB446" s="1"/>
    </row>
    <row r="447" spans="28:28" ht="15.75" customHeight="1" x14ac:dyDescent="0.3">
      <c r="AB447" s="1"/>
    </row>
    <row r="448" spans="28:28" ht="15.75" customHeight="1" x14ac:dyDescent="0.3">
      <c r="AB448" s="1"/>
    </row>
    <row r="449" spans="28:28" ht="15.75" customHeight="1" x14ac:dyDescent="0.3">
      <c r="AB449" s="1"/>
    </row>
    <row r="450" spans="28:28" ht="15.75" customHeight="1" x14ac:dyDescent="0.3">
      <c r="AB450" s="1"/>
    </row>
    <row r="451" spans="28:28" ht="15.75" customHeight="1" x14ac:dyDescent="0.3">
      <c r="AB451" s="1"/>
    </row>
    <row r="452" spans="28:28" ht="15.75" customHeight="1" x14ac:dyDescent="0.3">
      <c r="AB452" s="1"/>
    </row>
    <row r="453" spans="28:28" ht="15.75" customHeight="1" x14ac:dyDescent="0.3">
      <c r="AB453" s="1"/>
    </row>
    <row r="454" spans="28:28" ht="15.75" customHeight="1" x14ac:dyDescent="0.3">
      <c r="AB454" s="1"/>
    </row>
    <row r="455" spans="28:28" ht="15.75" customHeight="1" x14ac:dyDescent="0.3">
      <c r="AB455" s="1"/>
    </row>
    <row r="456" spans="28:28" ht="15.75" customHeight="1" x14ac:dyDescent="0.3">
      <c r="AB456" s="1"/>
    </row>
    <row r="457" spans="28:28" ht="15.75" customHeight="1" x14ac:dyDescent="0.3">
      <c r="AB457" s="1"/>
    </row>
    <row r="458" spans="28:28" ht="15.75" customHeight="1" x14ac:dyDescent="0.3">
      <c r="AB458" s="1"/>
    </row>
    <row r="459" spans="28:28" ht="15.75" customHeight="1" x14ac:dyDescent="0.3">
      <c r="AB459" s="1"/>
    </row>
    <row r="460" spans="28:28" ht="15.75" customHeight="1" x14ac:dyDescent="0.3">
      <c r="AB460" s="1"/>
    </row>
    <row r="461" spans="28:28" ht="15.75" customHeight="1" x14ac:dyDescent="0.3">
      <c r="AB461" s="1"/>
    </row>
    <row r="462" spans="28:28" ht="15.75" customHeight="1" x14ac:dyDescent="0.3">
      <c r="AB462" s="1"/>
    </row>
    <row r="463" spans="28:28" ht="15.75" customHeight="1" x14ac:dyDescent="0.3">
      <c r="AB463" s="1"/>
    </row>
    <row r="464" spans="28:28" ht="15.75" customHeight="1" x14ac:dyDescent="0.3">
      <c r="AB464" s="1"/>
    </row>
    <row r="465" spans="28:28" ht="15.75" customHeight="1" x14ac:dyDescent="0.3">
      <c r="AB465" s="1"/>
    </row>
    <row r="466" spans="28:28" ht="15.75" customHeight="1" x14ac:dyDescent="0.3">
      <c r="AB466" s="1"/>
    </row>
    <row r="467" spans="28:28" ht="15.75" customHeight="1" x14ac:dyDescent="0.3">
      <c r="AB467" s="1"/>
    </row>
    <row r="468" spans="28:28" ht="15.75" customHeight="1" x14ac:dyDescent="0.3">
      <c r="AB468" s="1"/>
    </row>
    <row r="469" spans="28:28" ht="15.75" customHeight="1" x14ac:dyDescent="0.3">
      <c r="AB469" s="1"/>
    </row>
    <row r="470" spans="28:28" ht="15.75" customHeight="1" x14ac:dyDescent="0.3">
      <c r="AB470" s="1"/>
    </row>
    <row r="471" spans="28:28" ht="15.75" customHeight="1" x14ac:dyDescent="0.3">
      <c r="AB471" s="1"/>
    </row>
    <row r="472" spans="28:28" ht="15.75" customHeight="1" x14ac:dyDescent="0.3">
      <c r="AB472" s="1"/>
    </row>
    <row r="473" spans="28:28" ht="15.75" customHeight="1" x14ac:dyDescent="0.3">
      <c r="AB473" s="1"/>
    </row>
    <row r="474" spans="28:28" ht="15.75" customHeight="1" x14ac:dyDescent="0.3">
      <c r="AB474" s="1"/>
    </row>
    <row r="475" spans="28:28" ht="15.75" customHeight="1" x14ac:dyDescent="0.3">
      <c r="AB475" s="1"/>
    </row>
    <row r="476" spans="28:28" ht="15.75" customHeight="1" x14ac:dyDescent="0.3">
      <c r="AB476" s="1"/>
    </row>
    <row r="477" spans="28:28" ht="15.75" customHeight="1" x14ac:dyDescent="0.3">
      <c r="AB477" s="1"/>
    </row>
    <row r="478" spans="28:28" ht="15.75" customHeight="1" x14ac:dyDescent="0.3">
      <c r="AB478" s="1"/>
    </row>
    <row r="479" spans="28:28" ht="15.75" customHeight="1" x14ac:dyDescent="0.3">
      <c r="AB479" s="1"/>
    </row>
    <row r="480" spans="28:28" ht="15.75" customHeight="1" x14ac:dyDescent="0.3">
      <c r="AB480" s="1"/>
    </row>
    <row r="481" spans="28:28" ht="15.75" customHeight="1" x14ac:dyDescent="0.3">
      <c r="AB481" s="1"/>
    </row>
    <row r="482" spans="28:28" ht="15.75" customHeight="1" x14ac:dyDescent="0.3">
      <c r="AB482" s="1"/>
    </row>
    <row r="483" spans="28:28" ht="15.75" customHeight="1" x14ac:dyDescent="0.3">
      <c r="AB483" s="1"/>
    </row>
    <row r="484" spans="28:28" ht="15.75" customHeight="1" x14ac:dyDescent="0.3">
      <c r="AB484" s="1"/>
    </row>
    <row r="485" spans="28:28" ht="15.75" customHeight="1" x14ac:dyDescent="0.3">
      <c r="AB485" s="1"/>
    </row>
    <row r="486" spans="28:28" ht="15.75" customHeight="1" x14ac:dyDescent="0.3">
      <c r="AB486" s="1"/>
    </row>
    <row r="487" spans="28:28" ht="15.75" customHeight="1" x14ac:dyDescent="0.3">
      <c r="AB487" s="1"/>
    </row>
    <row r="488" spans="28:28" ht="15.75" customHeight="1" x14ac:dyDescent="0.3">
      <c r="AB488" s="1"/>
    </row>
    <row r="489" spans="28:28" ht="15.75" customHeight="1" x14ac:dyDescent="0.3">
      <c r="AB489" s="1"/>
    </row>
    <row r="490" spans="28:28" ht="15.75" customHeight="1" x14ac:dyDescent="0.3">
      <c r="AB490" s="1"/>
    </row>
    <row r="491" spans="28:28" ht="15.75" customHeight="1" x14ac:dyDescent="0.3">
      <c r="AB491" s="1"/>
    </row>
    <row r="492" spans="28:28" ht="15.75" customHeight="1" x14ac:dyDescent="0.3">
      <c r="AB492" s="1"/>
    </row>
    <row r="493" spans="28:28" ht="15.75" customHeight="1" x14ac:dyDescent="0.3">
      <c r="AB493" s="1"/>
    </row>
    <row r="494" spans="28:28" ht="15.75" customHeight="1" x14ac:dyDescent="0.3">
      <c r="AB494" s="1"/>
    </row>
    <row r="495" spans="28:28" ht="15.75" customHeight="1" x14ac:dyDescent="0.3">
      <c r="AB495" s="1"/>
    </row>
    <row r="496" spans="28:28" ht="15.75" customHeight="1" x14ac:dyDescent="0.3">
      <c r="AB496" s="1"/>
    </row>
    <row r="497" spans="28:28" ht="15.75" customHeight="1" x14ac:dyDescent="0.3">
      <c r="AB497" s="1"/>
    </row>
    <row r="498" spans="28:28" ht="15.75" customHeight="1" x14ac:dyDescent="0.3">
      <c r="AB498" s="1"/>
    </row>
    <row r="499" spans="28:28" ht="15.75" customHeight="1" x14ac:dyDescent="0.3">
      <c r="AB499" s="1"/>
    </row>
    <row r="500" spans="28:28" ht="15.75" customHeight="1" x14ac:dyDescent="0.3">
      <c r="AB500" s="1"/>
    </row>
    <row r="501" spans="28:28" ht="15.75" customHeight="1" x14ac:dyDescent="0.3">
      <c r="AB501" s="1"/>
    </row>
    <row r="502" spans="28:28" ht="15.75" customHeight="1" x14ac:dyDescent="0.3">
      <c r="AB502" s="1"/>
    </row>
    <row r="503" spans="28:28" ht="15.75" customHeight="1" x14ac:dyDescent="0.3">
      <c r="AB503" s="1"/>
    </row>
    <row r="504" spans="28:28" ht="15.75" customHeight="1" x14ac:dyDescent="0.3">
      <c r="AB504" s="1"/>
    </row>
    <row r="505" spans="28:28" ht="15.75" customHeight="1" x14ac:dyDescent="0.3">
      <c r="AB505" s="1"/>
    </row>
    <row r="506" spans="28:28" ht="15.75" customHeight="1" x14ac:dyDescent="0.3">
      <c r="AB506" s="1"/>
    </row>
    <row r="507" spans="28:28" ht="15.75" customHeight="1" x14ac:dyDescent="0.3">
      <c r="AB507" s="1"/>
    </row>
    <row r="508" spans="28:28" ht="15.75" customHeight="1" x14ac:dyDescent="0.3">
      <c r="AB508" s="1"/>
    </row>
    <row r="509" spans="28:28" ht="15.75" customHeight="1" x14ac:dyDescent="0.3">
      <c r="AB509" s="1"/>
    </row>
    <row r="510" spans="28:28" ht="15.75" customHeight="1" x14ac:dyDescent="0.3">
      <c r="AB510" s="1"/>
    </row>
    <row r="511" spans="28:28" ht="15.75" customHeight="1" x14ac:dyDescent="0.3">
      <c r="AB511" s="1"/>
    </row>
    <row r="512" spans="28:28" ht="15.75" customHeight="1" x14ac:dyDescent="0.3">
      <c r="AB512" s="1"/>
    </row>
    <row r="513" spans="28:28" ht="15.75" customHeight="1" x14ac:dyDescent="0.3">
      <c r="AB513" s="1"/>
    </row>
    <row r="514" spans="28:28" ht="15.75" customHeight="1" x14ac:dyDescent="0.3">
      <c r="AB514" s="1"/>
    </row>
    <row r="515" spans="28:28" ht="15.75" customHeight="1" x14ac:dyDescent="0.3">
      <c r="AB515" s="1"/>
    </row>
    <row r="516" spans="28:28" ht="15.75" customHeight="1" x14ac:dyDescent="0.3">
      <c r="AB516" s="1"/>
    </row>
    <row r="517" spans="28:28" ht="15.75" customHeight="1" x14ac:dyDescent="0.3">
      <c r="AB517" s="1"/>
    </row>
    <row r="518" spans="28:28" ht="15.75" customHeight="1" x14ac:dyDescent="0.3">
      <c r="AB518" s="1"/>
    </row>
    <row r="519" spans="28:28" ht="15.75" customHeight="1" x14ac:dyDescent="0.3">
      <c r="AB519" s="1"/>
    </row>
    <row r="520" spans="28:28" ht="15.75" customHeight="1" x14ac:dyDescent="0.3">
      <c r="AB520" s="1"/>
    </row>
    <row r="521" spans="28:28" ht="15.75" customHeight="1" x14ac:dyDescent="0.3">
      <c r="AB521" s="1"/>
    </row>
    <row r="522" spans="28:28" ht="15.75" customHeight="1" x14ac:dyDescent="0.3">
      <c r="AB522" s="1"/>
    </row>
    <row r="523" spans="28:28" ht="15.75" customHeight="1" x14ac:dyDescent="0.3">
      <c r="AB523" s="1"/>
    </row>
    <row r="524" spans="28:28" ht="15.75" customHeight="1" x14ac:dyDescent="0.3">
      <c r="AB524" s="1"/>
    </row>
    <row r="525" spans="28:28" ht="15.75" customHeight="1" x14ac:dyDescent="0.3">
      <c r="AB525" s="1"/>
    </row>
    <row r="526" spans="28:28" ht="15.75" customHeight="1" x14ac:dyDescent="0.3">
      <c r="AB526" s="1"/>
    </row>
    <row r="527" spans="28:28" ht="15.75" customHeight="1" x14ac:dyDescent="0.3">
      <c r="AB527" s="1"/>
    </row>
    <row r="528" spans="28:28" ht="15.75" customHeight="1" x14ac:dyDescent="0.3">
      <c r="AB528" s="1"/>
    </row>
    <row r="529" spans="28:28" ht="15.75" customHeight="1" x14ac:dyDescent="0.3">
      <c r="AB529" s="1"/>
    </row>
    <row r="530" spans="28:28" ht="15.75" customHeight="1" x14ac:dyDescent="0.3">
      <c r="AB530" s="1"/>
    </row>
    <row r="531" spans="28:28" ht="15.75" customHeight="1" x14ac:dyDescent="0.3">
      <c r="AB531" s="1"/>
    </row>
    <row r="532" spans="28:28" ht="15.75" customHeight="1" x14ac:dyDescent="0.3">
      <c r="AB532" s="1"/>
    </row>
    <row r="533" spans="28:28" ht="15.75" customHeight="1" x14ac:dyDescent="0.3">
      <c r="AB533" s="1"/>
    </row>
    <row r="534" spans="28:28" ht="15.75" customHeight="1" x14ac:dyDescent="0.3">
      <c r="AB534" s="1"/>
    </row>
    <row r="535" spans="28:28" ht="15.75" customHeight="1" x14ac:dyDescent="0.3">
      <c r="AB535" s="1"/>
    </row>
    <row r="536" spans="28:28" ht="15.75" customHeight="1" x14ac:dyDescent="0.3">
      <c r="AB536" s="1"/>
    </row>
    <row r="537" spans="28:28" ht="15.75" customHeight="1" x14ac:dyDescent="0.3">
      <c r="AB537" s="1"/>
    </row>
    <row r="538" spans="28:28" ht="15.75" customHeight="1" x14ac:dyDescent="0.3">
      <c r="AB538" s="1"/>
    </row>
    <row r="539" spans="28:28" ht="15.75" customHeight="1" x14ac:dyDescent="0.3">
      <c r="AB539" s="1"/>
    </row>
    <row r="540" spans="28:28" ht="15.75" customHeight="1" x14ac:dyDescent="0.3">
      <c r="AB540" s="1"/>
    </row>
    <row r="541" spans="28:28" ht="15.75" customHeight="1" x14ac:dyDescent="0.3">
      <c r="AB541" s="1"/>
    </row>
    <row r="542" spans="28:28" ht="15.75" customHeight="1" x14ac:dyDescent="0.3">
      <c r="AB542" s="1"/>
    </row>
    <row r="543" spans="28:28" ht="15.75" customHeight="1" x14ac:dyDescent="0.3">
      <c r="AB543" s="1"/>
    </row>
    <row r="544" spans="28:28" ht="15.75" customHeight="1" x14ac:dyDescent="0.3">
      <c r="AB544" s="1"/>
    </row>
    <row r="545" spans="28:28" ht="15.75" customHeight="1" x14ac:dyDescent="0.3">
      <c r="AB545" s="1"/>
    </row>
    <row r="546" spans="28:28" ht="15.75" customHeight="1" x14ac:dyDescent="0.3">
      <c r="AB546" s="1"/>
    </row>
    <row r="547" spans="28:28" ht="15.75" customHeight="1" x14ac:dyDescent="0.3">
      <c r="AB547" s="1"/>
    </row>
    <row r="548" spans="28:28" ht="15.75" customHeight="1" x14ac:dyDescent="0.3">
      <c r="AB548" s="1"/>
    </row>
    <row r="549" spans="28:28" ht="15.75" customHeight="1" x14ac:dyDescent="0.3">
      <c r="AB549" s="1"/>
    </row>
    <row r="550" spans="28:28" ht="15.75" customHeight="1" x14ac:dyDescent="0.3">
      <c r="AB550" s="1"/>
    </row>
    <row r="551" spans="28:28" ht="15.75" customHeight="1" x14ac:dyDescent="0.3">
      <c r="AB551" s="1"/>
    </row>
    <row r="552" spans="28:28" ht="15.75" customHeight="1" x14ac:dyDescent="0.3">
      <c r="AB552" s="1"/>
    </row>
    <row r="553" spans="28:28" ht="15.75" customHeight="1" x14ac:dyDescent="0.3">
      <c r="AB553" s="1"/>
    </row>
    <row r="554" spans="28:28" ht="15.75" customHeight="1" x14ac:dyDescent="0.3">
      <c r="AB554" s="1"/>
    </row>
    <row r="555" spans="28:28" ht="15.75" customHeight="1" x14ac:dyDescent="0.3">
      <c r="AB555" s="1"/>
    </row>
    <row r="556" spans="28:28" ht="15.75" customHeight="1" x14ac:dyDescent="0.3">
      <c r="AB556" s="1"/>
    </row>
    <row r="557" spans="28:28" ht="15.75" customHeight="1" x14ac:dyDescent="0.3">
      <c r="AB557" s="1"/>
    </row>
    <row r="558" spans="28:28" ht="15.75" customHeight="1" x14ac:dyDescent="0.3">
      <c r="AB558" s="1"/>
    </row>
    <row r="559" spans="28:28" ht="15.75" customHeight="1" x14ac:dyDescent="0.3">
      <c r="AB559" s="1"/>
    </row>
    <row r="560" spans="28:28" ht="15.75" customHeight="1" x14ac:dyDescent="0.3">
      <c r="AB560" s="1"/>
    </row>
    <row r="561" spans="28:28" ht="15.75" customHeight="1" x14ac:dyDescent="0.3">
      <c r="AB561" s="1"/>
    </row>
    <row r="562" spans="28:28" ht="15.75" customHeight="1" x14ac:dyDescent="0.3">
      <c r="AB562" s="1"/>
    </row>
    <row r="563" spans="28:28" ht="15.75" customHeight="1" x14ac:dyDescent="0.3">
      <c r="AB563" s="1"/>
    </row>
    <row r="564" spans="28:28" ht="15.75" customHeight="1" x14ac:dyDescent="0.3">
      <c r="AB564" s="1"/>
    </row>
    <row r="565" spans="28:28" ht="15.75" customHeight="1" x14ac:dyDescent="0.3">
      <c r="AB565" s="1"/>
    </row>
    <row r="566" spans="28:28" ht="15.75" customHeight="1" x14ac:dyDescent="0.3">
      <c r="AB566" s="1"/>
    </row>
    <row r="567" spans="28:28" ht="15.75" customHeight="1" x14ac:dyDescent="0.3">
      <c r="AB567" s="1"/>
    </row>
    <row r="568" spans="28:28" ht="15.75" customHeight="1" x14ac:dyDescent="0.3">
      <c r="AB568" s="1"/>
    </row>
    <row r="569" spans="28:28" ht="15.75" customHeight="1" x14ac:dyDescent="0.3">
      <c r="AB569" s="1"/>
    </row>
    <row r="570" spans="28:28" ht="15.75" customHeight="1" x14ac:dyDescent="0.3">
      <c r="AB570" s="1"/>
    </row>
    <row r="571" spans="28:28" ht="15.75" customHeight="1" x14ac:dyDescent="0.3">
      <c r="AB571" s="1"/>
    </row>
    <row r="572" spans="28:28" ht="15.75" customHeight="1" x14ac:dyDescent="0.3">
      <c r="AB572" s="1"/>
    </row>
    <row r="573" spans="28:28" ht="15.75" customHeight="1" x14ac:dyDescent="0.3">
      <c r="AB573" s="1"/>
    </row>
    <row r="574" spans="28:28" ht="15.75" customHeight="1" x14ac:dyDescent="0.3">
      <c r="AB574" s="1"/>
    </row>
    <row r="575" spans="28:28" ht="15.75" customHeight="1" x14ac:dyDescent="0.3">
      <c r="AB575" s="1"/>
    </row>
    <row r="576" spans="28:28" ht="15.75" customHeight="1" x14ac:dyDescent="0.3">
      <c r="AB576" s="1"/>
    </row>
    <row r="577" spans="28:28" ht="15.75" customHeight="1" x14ac:dyDescent="0.3">
      <c r="AB577" s="1"/>
    </row>
    <row r="578" spans="28:28" ht="15.75" customHeight="1" x14ac:dyDescent="0.3">
      <c r="AB578" s="1"/>
    </row>
    <row r="579" spans="28:28" ht="15.75" customHeight="1" x14ac:dyDescent="0.3">
      <c r="AB579" s="1"/>
    </row>
    <row r="580" spans="28:28" ht="15.75" customHeight="1" x14ac:dyDescent="0.3">
      <c r="AB580" s="1"/>
    </row>
    <row r="581" spans="28:28" ht="15.75" customHeight="1" x14ac:dyDescent="0.3">
      <c r="AB581" s="1"/>
    </row>
    <row r="582" spans="28:28" ht="15.75" customHeight="1" x14ac:dyDescent="0.3">
      <c r="AB582" s="1"/>
    </row>
    <row r="583" spans="28:28" ht="15.75" customHeight="1" x14ac:dyDescent="0.3">
      <c r="AB583" s="1"/>
    </row>
    <row r="584" spans="28:28" ht="15.75" customHeight="1" x14ac:dyDescent="0.3">
      <c r="AB584" s="1"/>
    </row>
    <row r="585" spans="28:28" ht="15.75" customHeight="1" x14ac:dyDescent="0.3">
      <c r="AB585" s="1"/>
    </row>
    <row r="586" spans="28:28" ht="15.75" customHeight="1" x14ac:dyDescent="0.3">
      <c r="AB586" s="1"/>
    </row>
    <row r="587" spans="28:28" ht="15.75" customHeight="1" x14ac:dyDescent="0.3">
      <c r="AB587" s="1"/>
    </row>
    <row r="588" spans="28:28" ht="15.75" customHeight="1" x14ac:dyDescent="0.3">
      <c r="AB588" s="1"/>
    </row>
    <row r="589" spans="28:28" ht="15.75" customHeight="1" x14ac:dyDescent="0.3">
      <c r="AB589" s="1"/>
    </row>
    <row r="590" spans="28:28" ht="15.75" customHeight="1" x14ac:dyDescent="0.3">
      <c r="AB590" s="1"/>
    </row>
    <row r="591" spans="28:28" ht="15.75" customHeight="1" x14ac:dyDescent="0.3">
      <c r="AB591" s="1"/>
    </row>
    <row r="592" spans="28:28" ht="15.75" customHeight="1" x14ac:dyDescent="0.3">
      <c r="AB592" s="1"/>
    </row>
    <row r="593" spans="28:28" ht="15.75" customHeight="1" x14ac:dyDescent="0.3">
      <c r="AB593" s="1"/>
    </row>
    <row r="594" spans="28:28" ht="15.75" customHeight="1" x14ac:dyDescent="0.3">
      <c r="AB594" s="1"/>
    </row>
    <row r="595" spans="28:28" ht="15.75" customHeight="1" x14ac:dyDescent="0.3">
      <c r="AB595" s="1"/>
    </row>
    <row r="596" spans="28:28" ht="15.75" customHeight="1" x14ac:dyDescent="0.3">
      <c r="AB596" s="1"/>
    </row>
    <row r="597" spans="28:28" ht="15.75" customHeight="1" x14ac:dyDescent="0.3">
      <c r="AB597" s="1"/>
    </row>
    <row r="598" spans="28:28" ht="15.75" customHeight="1" x14ac:dyDescent="0.3">
      <c r="AB598" s="1"/>
    </row>
    <row r="599" spans="28:28" ht="15.75" customHeight="1" x14ac:dyDescent="0.3">
      <c r="AB599" s="1"/>
    </row>
    <row r="600" spans="28:28" ht="15.75" customHeight="1" x14ac:dyDescent="0.3">
      <c r="AB600" s="1"/>
    </row>
    <row r="601" spans="28:28" ht="15.75" customHeight="1" x14ac:dyDescent="0.3">
      <c r="AB601" s="1"/>
    </row>
    <row r="602" spans="28:28" ht="15.75" customHeight="1" x14ac:dyDescent="0.3">
      <c r="AB602" s="1"/>
    </row>
    <row r="603" spans="28:28" ht="15.75" customHeight="1" x14ac:dyDescent="0.3">
      <c r="AB603" s="1"/>
    </row>
    <row r="604" spans="28:28" ht="15.75" customHeight="1" x14ac:dyDescent="0.3">
      <c r="AB604" s="1"/>
    </row>
    <row r="605" spans="28:28" ht="15.75" customHeight="1" x14ac:dyDescent="0.3">
      <c r="AB605" s="1"/>
    </row>
    <row r="606" spans="28:28" ht="15.75" customHeight="1" x14ac:dyDescent="0.3">
      <c r="AB606" s="1"/>
    </row>
    <row r="607" spans="28:28" ht="15.75" customHeight="1" x14ac:dyDescent="0.3">
      <c r="AB607" s="1"/>
    </row>
    <row r="608" spans="28:28" ht="15.75" customHeight="1" x14ac:dyDescent="0.3">
      <c r="AB608" s="1"/>
    </row>
    <row r="609" spans="28:28" ht="15.75" customHeight="1" x14ac:dyDescent="0.3">
      <c r="AB609" s="1"/>
    </row>
    <row r="610" spans="28:28" ht="15.75" customHeight="1" x14ac:dyDescent="0.3">
      <c r="AB610" s="1"/>
    </row>
    <row r="611" spans="28:28" ht="15.75" customHeight="1" x14ac:dyDescent="0.3">
      <c r="AB611" s="1"/>
    </row>
    <row r="612" spans="28:28" ht="15.75" customHeight="1" x14ac:dyDescent="0.3">
      <c r="AB612" s="1"/>
    </row>
    <row r="613" spans="28:28" ht="15.75" customHeight="1" x14ac:dyDescent="0.3">
      <c r="AB613" s="1"/>
    </row>
    <row r="614" spans="28:28" ht="15.75" customHeight="1" x14ac:dyDescent="0.3">
      <c r="AB614" s="1"/>
    </row>
    <row r="615" spans="28:28" ht="15.75" customHeight="1" x14ac:dyDescent="0.3">
      <c r="AB615" s="1"/>
    </row>
    <row r="616" spans="28:28" ht="15.75" customHeight="1" x14ac:dyDescent="0.3">
      <c r="AB616" s="1"/>
    </row>
    <row r="617" spans="28:28" ht="15.75" customHeight="1" x14ac:dyDescent="0.3">
      <c r="AB617" s="1"/>
    </row>
    <row r="618" spans="28:28" ht="15.75" customHeight="1" x14ac:dyDescent="0.3">
      <c r="AB618" s="1"/>
    </row>
    <row r="619" spans="28:28" ht="15.75" customHeight="1" x14ac:dyDescent="0.3">
      <c r="AB619" s="1"/>
    </row>
    <row r="620" spans="28:28" ht="15.75" customHeight="1" x14ac:dyDescent="0.3">
      <c r="AB620" s="1"/>
    </row>
    <row r="621" spans="28:28" ht="15.75" customHeight="1" x14ac:dyDescent="0.3">
      <c r="AB621" s="1"/>
    </row>
    <row r="622" spans="28:28" ht="15.75" customHeight="1" x14ac:dyDescent="0.3">
      <c r="AB622" s="1"/>
    </row>
    <row r="623" spans="28:28" ht="15.75" customHeight="1" x14ac:dyDescent="0.3">
      <c r="AB623" s="1"/>
    </row>
    <row r="624" spans="28:28" ht="15.75" customHeight="1" x14ac:dyDescent="0.3">
      <c r="AB624" s="1"/>
    </row>
    <row r="625" spans="28:28" ht="15.75" customHeight="1" x14ac:dyDescent="0.3">
      <c r="AB625" s="1"/>
    </row>
    <row r="626" spans="28:28" ht="15.75" customHeight="1" x14ac:dyDescent="0.3">
      <c r="AB626" s="1"/>
    </row>
    <row r="627" spans="28:28" ht="15.75" customHeight="1" x14ac:dyDescent="0.3">
      <c r="AB627" s="1"/>
    </row>
    <row r="628" spans="28:28" ht="15.75" customHeight="1" x14ac:dyDescent="0.3">
      <c r="AB628" s="1"/>
    </row>
    <row r="629" spans="28:28" ht="15.75" customHeight="1" x14ac:dyDescent="0.3">
      <c r="AB629" s="1"/>
    </row>
    <row r="630" spans="28:28" ht="15.75" customHeight="1" x14ac:dyDescent="0.3">
      <c r="AB630" s="1"/>
    </row>
    <row r="631" spans="28:28" ht="15.75" customHeight="1" x14ac:dyDescent="0.3">
      <c r="AB631" s="1"/>
    </row>
    <row r="632" spans="28:28" ht="15.75" customHeight="1" x14ac:dyDescent="0.3">
      <c r="AB632" s="1"/>
    </row>
    <row r="633" spans="28:28" ht="15.75" customHeight="1" x14ac:dyDescent="0.3">
      <c r="AB633" s="1"/>
    </row>
    <row r="634" spans="28:28" ht="15.75" customHeight="1" x14ac:dyDescent="0.3">
      <c r="AB634" s="1"/>
    </row>
    <row r="635" spans="28:28" ht="15.75" customHeight="1" x14ac:dyDescent="0.3">
      <c r="AB635" s="1"/>
    </row>
    <row r="636" spans="28:28" ht="15.75" customHeight="1" x14ac:dyDescent="0.3">
      <c r="AB636" s="1"/>
    </row>
    <row r="637" spans="28:28" ht="15.75" customHeight="1" x14ac:dyDescent="0.3">
      <c r="AB637" s="1"/>
    </row>
    <row r="638" spans="28:28" ht="15.75" customHeight="1" x14ac:dyDescent="0.3">
      <c r="AB638" s="1"/>
    </row>
    <row r="639" spans="28:28" ht="15.75" customHeight="1" x14ac:dyDescent="0.3">
      <c r="AB639" s="1"/>
    </row>
    <row r="640" spans="28:28" ht="15.75" customHeight="1" x14ac:dyDescent="0.3">
      <c r="AB640" s="1"/>
    </row>
    <row r="641" spans="28:28" ht="15.75" customHeight="1" x14ac:dyDescent="0.3">
      <c r="AB641" s="1"/>
    </row>
    <row r="642" spans="28:28" ht="15.75" customHeight="1" x14ac:dyDescent="0.3">
      <c r="AB642" s="1"/>
    </row>
    <row r="643" spans="28:28" ht="15.75" customHeight="1" x14ac:dyDescent="0.3">
      <c r="AB643" s="1"/>
    </row>
    <row r="644" spans="28:28" ht="15.75" customHeight="1" x14ac:dyDescent="0.3">
      <c r="AB644" s="1"/>
    </row>
    <row r="645" spans="28:28" ht="15.75" customHeight="1" x14ac:dyDescent="0.3">
      <c r="AB645" s="1"/>
    </row>
    <row r="646" spans="28:28" ht="15.75" customHeight="1" x14ac:dyDescent="0.3">
      <c r="AB646" s="1"/>
    </row>
    <row r="647" spans="28:28" ht="15.75" customHeight="1" x14ac:dyDescent="0.3">
      <c r="AB647" s="1"/>
    </row>
    <row r="648" spans="28:28" ht="15.75" customHeight="1" x14ac:dyDescent="0.3">
      <c r="AB648" s="1"/>
    </row>
    <row r="649" spans="28:28" ht="15.75" customHeight="1" x14ac:dyDescent="0.3">
      <c r="AB649" s="1"/>
    </row>
    <row r="650" spans="28:28" ht="15.75" customHeight="1" x14ac:dyDescent="0.3">
      <c r="AB650" s="1"/>
    </row>
    <row r="651" spans="28:28" ht="15.75" customHeight="1" x14ac:dyDescent="0.3">
      <c r="AB651" s="1"/>
    </row>
    <row r="652" spans="28:28" ht="15.75" customHeight="1" x14ac:dyDescent="0.3">
      <c r="AB652" s="1"/>
    </row>
    <row r="653" spans="28:28" ht="15.75" customHeight="1" x14ac:dyDescent="0.3">
      <c r="AB653" s="1"/>
    </row>
    <row r="654" spans="28:28" ht="15.75" customHeight="1" x14ac:dyDescent="0.3">
      <c r="AB654" s="1"/>
    </row>
    <row r="655" spans="28:28" ht="15.75" customHeight="1" x14ac:dyDescent="0.3">
      <c r="AB655" s="1"/>
    </row>
    <row r="656" spans="28:28" ht="15.75" customHeight="1" x14ac:dyDescent="0.3">
      <c r="AB656" s="1"/>
    </row>
    <row r="657" spans="28:28" ht="15.75" customHeight="1" x14ac:dyDescent="0.3">
      <c r="AB657" s="1"/>
    </row>
    <row r="658" spans="28:28" ht="15.75" customHeight="1" x14ac:dyDescent="0.3">
      <c r="AB658" s="1"/>
    </row>
    <row r="659" spans="28:28" ht="15.75" customHeight="1" x14ac:dyDescent="0.3">
      <c r="AB659" s="1"/>
    </row>
    <row r="660" spans="28:28" ht="15.75" customHeight="1" x14ac:dyDescent="0.3">
      <c r="AB660" s="1"/>
    </row>
    <row r="661" spans="28:28" ht="15.75" customHeight="1" x14ac:dyDescent="0.3">
      <c r="AB661" s="1"/>
    </row>
    <row r="662" spans="28:28" ht="15.75" customHeight="1" x14ac:dyDescent="0.3">
      <c r="AB662" s="1"/>
    </row>
    <row r="663" spans="28:28" ht="15.75" customHeight="1" x14ac:dyDescent="0.3">
      <c r="AB663" s="1"/>
    </row>
    <row r="664" spans="28:28" ht="15.75" customHeight="1" x14ac:dyDescent="0.3">
      <c r="AB664" s="1"/>
    </row>
    <row r="665" spans="28:28" ht="15.75" customHeight="1" x14ac:dyDescent="0.3">
      <c r="AB665" s="1"/>
    </row>
    <row r="666" spans="28:28" ht="15.75" customHeight="1" x14ac:dyDescent="0.3">
      <c r="AB666" s="1"/>
    </row>
    <row r="667" spans="28:28" ht="15.75" customHeight="1" x14ac:dyDescent="0.3">
      <c r="AB667" s="1"/>
    </row>
    <row r="668" spans="28:28" ht="15.75" customHeight="1" x14ac:dyDescent="0.3">
      <c r="AB668" s="1"/>
    </row>
    <row r="669" spans="28:28" ht="15.75" customHeight="1" x14ac:dyDescent="0.3">
      <c r="AB669" s="1"/>
    </row>
    <row r="670" spans="28:28" ht="15.75" customHeight="1" x14ac:dyDescent="0.3">
      <c r="AB670" s="1"/>
    </row>
    <row r="671" spans="28:28" ht="15.75" customHeight="1" x14ac:dyDescent="0.3">
      <c r="AB671" s="1"/>
    </row>
    <row r="672" spans="28:28" ht="15.75" customHeight="1" x14ac:dyDescent="0.3">
      <c r="AB672" s="1"/>
    </row>
    <row r="673" spans="28:28" ht="15.75" customHeight="1" x14ac:dyDescent="0.3">
      <c r="AB673" s="1"/>
    </row>
    <row r="674" spans="28:28" ht="15.75" customHeight="1" x14ac:dyDescent="0.3">
      <c r="AB674" s="1"/>
    </row>
    <row r="675" spans="28:28" ht="15.75" customHeight="1" x14ac:dyDescent="0.3">
      <c r="AB675" s="1"/>
    </row>
    <row r="676" spans="28:28" ht="15.75" customHeight="1" x14ac:dyDescent="0.3">
      <c r="AB676" s="1"/>
    </row>
    <row r="677" spans="28:28" ht="15.75" customHeight="1" x14ac:dyDescent="0.3">
      <c r="AB677" s="1"/>
    </row>
    <row r="678" spans="28:28" ht="15.75" customHeight="1" x14ac:dyDescent="0.3">
      <c r="AB678" s="1"/>
    </row>
    <row r="679" spans="28:28" ht="15.75" customHeight="1" x14ac:dyDescent="0.3">
      <c r="AB679" s="1"/>
    </row>
    <row r="680" spans="28:28" ht="15.75" customHeight="1" x14ac:dyDescent="0.3">
      <c r="AB680" s="1"/>
    </row>
    <row r="681" spans="28:28" ht="15.75" customHeight="1" x14ac:dyDescent="0.3">
      <c r="AB681" s="1"/>
    </row>
    <row r="682" spans="28:28" ht="15.75" customHeight="1" x14ac:dyDescent="0.3">
      <c r="AB682" s="1"/>
    </row>
    <row r="683" spans="28:28" ht="15.75" customHeight="1" x14ac:dyDescent="0.3">
      <c r="AB683" s="1"/>
    </row>
    <row r="684" spans="28:28" ht="15.75" customHeight="1" x14ac:dyDescent="0.3">
      <c r="AB684" s="1"/>
    </row>
    <row r="685" spans="28:28" ht="15.75" customHeight="1" x14ac:dyDescent="0.3">
      <c r="AB685" s="1"/>
    </row>
    <row r="686" spans="28:28" ht="15.75" customHeight="1" x14ac:dyDescent="0.3">
      <c r="AB686" s="1"/>
    </row>
    <row r="687" spans="28:28" ht="15.75" customHeight="1" x14ac:dyDescent="0.3">
      <c r="AB687" s="1"/>
    </row>
    <row r="688" spans="28:28" ht="15.75" customHeight="1" x14ac:dyDescent="0.3">
      <c r="AB688" s="1"/>
    </row>
    <row r="689" spans="28:28" ht="15.75" customHeight="1" x14ac:dyDescent="0.3">
      <c r="AB689" s="1"/>
    </row>
    <row r="690" spans="28:28" ht="15.75" customHeight="1" x14ac:dyDescent="0.3">
      <c r="AB690" s="1"/>
    </row>
    <row r="691" spans="28:28" ht="15.75" customHeight="1" x14ac:dyDescent="0.3">
      <c r="AB691" s="1"/>
    </row>
    <row r="692" spans="28:28" ht="15.75" customHeight="1" x14ac:dyDescent="0.3">
      <c r="AB692" s="1"/>
    </row>
    <row r="693" spans="28:28" ht="15.75" customHeight="1" x14ac:dyDescent="0.3">
      <c r="AB693" s="1"/>
    </row>
    <row r="694" spans="28:28" ht="15.75" customHeight="1" x14ac:dyDescent="0.3">
      <c r="AB694" s="1"/>
    </row>
    <row r="695" spans="28:28" ht="15.75" customHeight="1" x14ac:dyDescent="0.3">
      <c r="AB695" s="1"/>
    </row>
    <row r="696" spans="28:28" ht="15.75" customHeight="1" x14ac:dyDescent="0.3">
      <c r="AB696" s="1"/>
    </row>
    <row r="697" spans="28:28" ht="15.75" customHeight="1" x14ac:dyDescent="0.3">
      <c r="AB697" s="1"/>
    </row>
    <row r="698" spans="28:28" ht="15.75" customHeight="1" x14ac:dyDescent="0.3">
      <c r="AB698" s="1"/>
    </row>
    <row r="699" spans="28:28" ht="15.75" customHeight="1" x14ac:dyDescent="0.3">
      <c r="AB699" s="1"/>
    </row>
    <row r="700" spans="28:28" ht="15.75" customHeight="1" x14ac:dyDescent="0.3">
      <c r="AB700" s="1"/>
    </row>
    <row r="701" spans="28:28" ht="15.75" customHeight="1" x14ac:dyDescent="0.3">
      <c r="AB701" s="1"/>
    </row>
    <row r="702" spans="28:28" ht="15.75" customHeight="1" x14ac:dyDescent="0.3">
      <c r="AB702" s="1"/>
    </row>
    <row r="703" spans="28:28" ht="15.75" customHeight="1" x14ac:dyDescent="0.3">
      <c r="AB703" s="1"/>
    </row>
    <row r="704" spans="28:28" ht="15.75" customHeight="1" x14ac:dyDescent="0.3">
      <c r="AB704" s="1"/>
    </row>
    <row r="705" spans="28:28" ht="15.75" customHeight="1" x14ac:dyDescent="0.3">
      <c r="AB705" s="1"/>
    </row>
    <row r="706" spans="28:28" ht="15.75" customHeight="1" x14ac:dyDescent="0.3">
      <c r="AB706" s="1"/>
    </row>
    <row r="707" spans="28:28" ht="15.75" customHeight="1" x14ac:dyDescent="0.3">
      <c r="AB707" s="1"/>
    </row>
    <row r="708" spans="28:28" ht="15.75" customHeight="1" x14ac:dyDescent="0.3">
      <c r="AB708" s="1"/>
    </row>
    <row r="709" spans="28:28" ht="15.75" customHeight="1" x14ac:dyDescent="0.3">
      <c r="AB709" s="1"/>
    </row>
    <row r="710" spans="28:28" ht="15.75" customHeight="1" x14ac:dyDescent="0.3">
      <c r="AB710" s="1"/>
    </row>
    <row r="711" spans="28:28" ht="15.75" customHeight="1" x14ac:dyDescent="0.3">
      <c r="AB711" s="1"/>
    </row>
    <row r="712" spans="28:28" ht="15.75" customHeight="1" x14ac:dyDescent="0.3">
      <c r="AB712" s="1"/>
    </row>
    <row r="713" spans="28:28" ht="15.75" customHeight="1" x14ac:dyDescent="0.3">
      <c r="AB713" s="1"/>
    </row>
    <row r="714" spans="28:28" ht="15.75" customHeight="1" x14ac:dyDescent="0.3">
      <c r="AB714" s="1"/>
    </row>
    <row r="715" spans="28:28" ht="15.75" customHeight="1" x14ac:dyDescent="0.3">
      <c r="AB715" s="1"/>
    </row>
    <row r="716" spans="28:28" ht="15.75" customHeight="1" x14ac:dyDescent="0.3">
      <c r="AB716" s="1"/>
    </row>
    <row r="717" spans="28:28" ht="15.75" customHeight="1" x14ac:dyDescent="0.3">
      <c r="AB717" s="1"/>
    </row>
    <row r="718" spans="28:28" ht="15.75" customHeight="1" x14ac:dyDescent="0.3">
      <c r="AB718" s="1"/>
    </row>
    <row r="719" spans="28:28" ht="15.75" customHeight="1" x14ac:dyDescent="0.3">
      <c r="AB719" s="1"/>
    </row>
    <row r="720" spans="28:28" ht="15.75" customHeight="1" x14ac:dyDescent="0.3">
      <c r="AB720" s="1"/>
    </row>
    <row r="721" spans="28:28" ht="15.75" customHeight="1" x14ac:dyDescent="0.3">
      <c r="AB721" s="1"/>
    </row>
    <row r="722" spans="28:28" ht="15.75" customHeight="1" x14ac:dyDescent="0.3">
      <c r="AB722" s="1"/>
    </row>
    <row r="723" spans="28:28" ht="15.75" customHeight="1" x14ac:dyDescent="0.3">
      <c r="AB723" s="1"/>
    </row>
    <row r="724" spans="28:28" ht="15.75" customHeight="1" x14ac:dyDescent="0.3">
      <c r="AB724" s="1"/>
    </row>
    <row r="725" spans="28:28" ht="15.75" customHeight="1" x14ac:dyDescent="0.3">
      <c r="AB725" s="1"/>
    </row>
    <row r="726" spans="28:28" ht="15.75" customHeight="1" x14ac:dyDescent="0.3">
      <c r="AB726" s="1"/>
    </row>
    <row r="727" spans="28:28" ht="15.75" customHeight="1" x14ac:dyDescent="0.3">
      <c r="AB727" s="1"/>
    </row>
    <row r="728" spans="28:28" ht="15.75" customHeight="1" x14ac:dyDescent="0.3">
      <c r="AB728" s="1"/>
    </row>
    <row r="729" spans="28:28" ht="15.75" customHeight="1" x14ac:dyDescent="0.3">
      <c r="AB729" s="1"/>
    </row>
    <row r="730" spans="28:28" ht="15.75" customHeight="1" x14ac:dyDescent="0.3">
      <c r="AB730" s="1"/>
    </row>
    <row r="731" spans="28:28" ht="15.75" customHeight="1" x14ac:dyDescent="0.3">
      <c r="AB731" s="1"/>
    </row>
    <row r="732" spans="28:28" ht="15.75" customHeight="1" x14ac:dyDescent="0.3">
      <c r="AB732" s="1"/>
    </row>
    <row r="733" spans="28:28" ht="15.75" customHeight="1" x14ac:dyDescent="0.3">
      <c r="AB733" s="1"/>
    </row>
    <row r="734" spans="28:28" ht="15.75" customHeight="1" x14ac:dyDescent="0.3">
      <c r="AB734" s="1"/>
    </row>
    <row r="735" spans="28:28" ht="15.75" customHeight="1" x14ac:dyDescent="0.3">
      <c r="AB735" s="1"/>
    </row>
    <row r="736" spans="28:28" ht="15.75" customHeight="1" x14ac:dyDescent="0.3">
      <c r="AB736" s="1"/>
    </row>
    <row r="737" spans="28:28" ht="15.75" customHeight="1" x14ac:dyDescent="0.3">
      <c r="AB737" s="1"/>
    </row>
    <row r="738" spans="28:28" ht="15.75" customHeight="1" x14ac:dyDescent="0.3">
      <c r="AB738" s="1"/>
    </row>
    <row r="739" spans="28:28" ht="15.75" customHeight="1" x14ac:dyDescent="0.3">
      <c r="AB739" s="1"/>
    </row>
    <row r="740" spans="28:28" ht="15.75" customHeight="1" x14ac:dyDescent="0.3">
      <c r="AB740" s="1"/>
    </row>
    <row r="741" spans="28:28" ht="15.75" customHeight="1" x14ac:dyDescent="0.3">
      <c r="AB741" s="1"/>
    </row>
    <row r="742" spans="28:28" ht="15.75" customHeight="1" x14ac:dyDescent="0.3">
      <c r="AB742" s="1"/>
    </row>
    <row r="743" spans="28:28" ht="15.75" customHeight="1" x14ac:dyDescent="0.3">
      <c r="AB743" s="1"/>
    </row>
    <row r="744" spans="28:28" ht="15.75" customHeight="1" x14ac:dyDescent="0.3">
      <c r="AB744" s="1"/>
    </row>
    <row r="745" spans="28:28" ht="15.75" customHeight="1" x14ac:dyDescent="0.3">
      <c r="AB745" s="1"/>
    </row>
    <row r="746" spans="28:28" ht="15.75" customHeight="1" x14ac:dyDescent="0.3">
      <c r="AB746" s="1"/>
    </row>
    <row r="747" spans="28:28" ht="15.75" customHeight="1" x14ac:dyDescent="0.3">
      <c r="AB747" s="1"/>
    </row>
    <row r="748" spans="28:28" ht="15.75" customHeight="1" x14ac:dyDescent="0.3">
      <c r="AB748" s="1"/>
    </row>
    <row r="749" spans="28:28" ht="15.75" customHeight="1" x14ac:dyDescent="0.3">
      <c r="AB749" s="1"/>
    </row>
    <row r="750" spans="28:28" ht="15.75" customHeight="1" x14ac:dyDescent="0.3">
      <c r="AB750" s="1"/>
    </row>
    <row r="751" spans="28:28" ht="15.75" customHeight="1" x14ac:dyDescent="0.3">
      <c r="AB751" s="1"/>
    </row>
    <row r="752" spans="28:28" ht="15.75" customHeight="1" x14ac:dyDescent="0.3">
      <c r="AB752" s="1"/>
    </row>
    <row r="753" spans="28:28" ht="15.75" customHeight="1" x14ac:dyDescent="0.3">
      <c r="AB753" s="1"/>
    </row>
    <row r="754" spans="28:28" ht="15.75" customHeight="1" x14ac:dyDescent="0.3">
      <c r="AB754" s="1"/>
    </row>
    <row r="755" spans="28:28" ht="15.75" customHeight="1" x14ac:dyDescent="0.3">
      <c r="AB755" s="1"/>
    </row>
    <row r="756" spans="28:28" ht="15.75" customHeight="1" x14ac:dyDescent="0.3">
      <c r="AB756" s="1"/>
    </row>
    <row r="757" spans="28:28" ht="15.75" customHeight="1" x14ac:dyDescent="0.3">
      <c r="AB757" s="1"/>
    </row>
    <row r="758" spans="28:28" ht="15.75" customHeight="1" x14ac:dyDescent="0.3">
      <c r="AB758" s="1"/>
    </row>
    <row r="759" spans="28:28" ht="15.75" customHeight="1" x14ac:dyDescent="0.3">
      <c r="AB759" s="1"/>
    </row>
    <row r="760" spans="28:28" ht="15.75" customHeight="1" x14ac:dyDescent="0.3">
      <c r="AB760" s="1"/>
    </row>
    <row r="761" spans="28:28" ht="15.75" customHeight="1" x14ac:dyDescent="0.3">
      <c r="AB761" s="1"/>
    </row>
    <row r="762" spans="28:28" ht="15.75" customHeight="1" x14ac:dyDescent="0.3">
      <c r="AB762" s="1"/>
    </row>
    <row r="763" spans="28:28" ht="15.75" customHeight="1" x14ac:dyDescent="0.3">
      <c r="AB763" s="1"/>
    </row>
    <row r="764" spans="28:28" ht="15.75" customHeight="1" x14ac:dyDescent="0.3">
      <c r="AB764" s="1"/>
    </row>
    <row r="765" spans="28:28" ht="15.75" customHeight="1" x14ac:dyDescent="0.3">
      <c r="AB765" s="1"/>
    </row>
    <row r="766" spans="28:28" ht="15.75" customHeight="1" x14ac:dyDescent="0.3">
      <c r="AB766" s="1"/>
    </row>
    <row r="767" spans="28:28" ht="15.75" customHeight="1" x14ac:dyDescent="0.3">
      <c r="AB767" s="1"/>
    </row>
    <row r="768" spans="28:28" ht="15.75" customHeight="1" x14ac:dyDescent="0.3">
      <c r="AB768" s="1"/>
    </row>
    <row r="769" spans="28:28" ht="15.75" customHeight="1" x14ac:dyDescent="0.3">
      <c r="AB769" s="1"/>
    </row>
    <row r="770" spans="28:28" ht="15.75" customHeight="1" x14ac:dyDescent="0.3">
      <c r="AB770" s="1"/>
    </row>
    <row r="771" spans="28:28" ht="15.75" customHeight="1" x14ac:dyDescent="0.3">
      <c r="AB771" s="1"/>
    </row>
    <row r="772" spans="28:28" ht="15.75" customHeight="1" x14ac:dyDescent="0.3">
      <c r="AB772" s="1"/>
    </row>
    <row r="773" spans="28:28" ht="15.75" customHeight="1" x14ac:dyDescent="0.3">
      <c r="AB773" s="1"/>
    </row>
    <row r="774" spans="28:28" ht="15.75" customHeight="1" x14ac:dyDescent="0.3">
      <c r="AB774" s="1"/>
    </row>
    <row r="775" spans="28:28" ht="15.75" customHeight="1" x14ac:dyDescent="0.3">
      <c r="AB775" s="1"/>
    </row>
    <row r="776" spans="28:28" ht="15.75" customHeight="1" x14ac:dyDescent="0.3">
      <c r="AB776" s="1"/>
    </row>
    <row r="777" spans="28:28" ht="15.75" customHeight="1" x14ac:dyDescent="0.3">
      <c r="AB777" s="1"/>
    </row>
    <row r="778" spans="28:28" ht="15.75" customHeight="1" x14ac:dyDescent="0.3">
      <c r="AB778" s="1"/>
    </row>
    <row r="779" spans="28:28" ht="15.75" customHeight="1" x14ac:dyDescent="0.3">
      <c r="AB779" s="1"/>
    </row>
    <row r="780" spans="28:28" ht="15.75" customHeight="1" x14ac:dyDescent="0.3">
      <c r="AB780" s="1"/>
    </row>
    <row r="781" spans="28:28" ht="15.75" customHeight="1" x14ac:dyDescent="0.3">
      <c r="AB781" s="1"/>
    </row>
    <row r="782" spans="28:28" ht="15.75" customHeight="1" x14ac:dyDescent="0.3">
      <c r="AB782" s="1"/>
    </row>
    <row r="783" spans="28:28" ht="15.75" customHeight="1" x14ac:dyDescent="0.3">
      <c r="AB783" s="1"/>
    </row>
    <row r="784" spans="28:28" ht="15.75" customHeight="1" x14ac:dyDescent="0.3">
      <c r="AB784" s="1"/>
    </row>
    <row r="785" spans="28:28" ht="15.75" customHeight="1" x14ac:dyDescent="0.3">
      <c r="AB785" s="1"/>
    </row>
    <row r="786" spans="28:28" ht="15.75" customHeight="1" x14ac:dyDescent="0.3">
      <c r="AB786" s="1"/>
    </row>
    <row r="787" spans="28:28" ht="15.75" customHeight="1" x14ac:dyDescent="0.3">
      <c r="AB787" s="1"/>
    </row>
    <row r="788" spans="28:28" ht="15.75" customHeight="1" x14ac:dyDescent="0.3">
      <c r="AB788" s="1"/>
    </row>
    <row r="789" spans="28:28" ht="15.75" customHeight="1" x14ac:dyDescent="0.3">
      <c r="AB789" s="1"/>
    </row>
    <row r="790" spans="28:28" ht="15.75" customHeight="1" x14ac:dyDescent="0.3">
      <c r="AB790" s="1"/>
    </row>
    <row r="791" spans="28:28" ht="15.75" customHeight="1" x14ac:dyDescent="0.3">
      <c r="AB791" s="1"/>
    </row>
    <row r="792" spans="28:28" ht="15.75" customHeight="1" x14ac:dyDescent="0.3">
      <c r="AB792" s="1"/>
    </row>
    <row r="793" spans="28:28" ht="15.75" customHeight="1" x14ac:dyDescent="0.3">
      <c r="AB793" s="1"/>
    </row>
    <row r="794" spans="28:28" ht="15.75" customHeight="1" x14ac:dyDescent="0.3">
      <c r="AB794" s="1"/>
    </row>
    <row r="795" spans="28:28" ht="15.75" customHeight="1" x14ac:dyDescent="0.3">
      <c r="AB795" s="1"/>
    </row>
    <row r="796" spans="28:28" ht="15.75" customHeight="1" x14ac:dyDescent="0.3">
      <c r="AB796" s="1"/>
    </row>
    <row r="797" spans="28:28" ht="15.75" customHeight="1" x14ac:dyDescent="0.3">
      <c r="AB797" s="1"/>
    </row>
    <row r="798" spans="28:28" ht="15.75" customHeight="1" x14ac:dyDescent="0.3">
      <c r="AB798" s="1"/>
    </row>
    <row r="799" spans="28:28" ht="15.75" customHeight="1" x14ac:dyDescent="0.3">
      <c r="AB799" s="1"/>
    </row>
    <row r="800" spans="28:28" ht="15.75" customHeight="1" x14ac:dyDescent="0.3">
      <c r="AB800" s="1"/>
    </row>
    <row r="801" spans="28:28" ht="15.75" customHeight="1" x14ac:dyDescent="0.3">
      <c r="AB801" s="1"/>
    </row>
    <row r="802" spans="28:28" ht="15.75" customHeight="1" x14ac:dyDescent="0.3">
      <c r="AB802" s="1"/>
    </row>
    <row r="803" spans="28:28" ht="15.75" customHeight="1" x14ac:dyDescent="0.3">
      <c r="AB803" s="1"/>
    </row>
    <row r="804" spans="28:28" ht="15.75" customHeight="1" x14ac:dyDescent="0.3">
      <c r="AB804" s="1"/>
    </row>
    <row r="805" spans="28:28" ht="15.75" customHeight="1" x14ac:dyDescent="0.3">
      <c r="AB805" s="1"/>
    </row>
    <row r="806" spans="28:28" ht="15.75" customHeight="1" x14ac:dyDescent="0.3">
      <c r="AB806" s="1"/>
    </row>
    <row r="807" spans="28:28" ht="15.75" customHeight="1" x14ac:dyDescent="0.3">
      <c r="AB807" s="1"/>
    </row>
    <row r="808" spans="28:28" ht="15.75" customHeight="1" x14ac:dyDescent="0.3">
      <c r="AB808" s="1"/>
    </row>
    <row r="809" spans="28:28" ht="15.75" customHeight="1" x14ac:dyDescent="0.3">
      <c r="AB809" s="1"/>
    </row>
    <row r="810" spans="28:28" ht="15.75" customHeight="1" x14ac:dyDescent="0.3">
      <c r="AB810" s="1"/>
    </row>
    <row r="811" spans="28:28" ht="15.75" customHeight="1" x14ac:dyDescent="0.3">
      <c r="AB811" s="1"/>
    </row>
    <row r="812" spans="28:28" ht="15.75" customHeight="1" x14ac:dyDescent="0.3">
      <c r="AB812" s="1"/>
    </row>
    <row r="813" spans="28:28" ht="15.75" customHeight="1" x14ac:dyDescent="0.3">
      <c r="AB813" s="1"/>
    </row>
    <row r="814" spans="28:28" ht="15.75" customHeight="1" x14ac:dyDescent="0.3">
      <c r="AB814" s="1"/>
    </row>
    <row r="815" spans="28:28" ht="15.75" customHeight="1" x14ac:dyDescent="0.3">
      <c r="AB815" s="1"/>
    </row>
    <row r="816" spans="28:28" ht="15.75" customHeight="1" x14ac:dyDescent="0.3">
      <c r="AB816" s="1"/>
    </row>
    <row r="817" spans="28:28" ht="15.75" customHeight="1" x14ac:dyDescent="0.3">
      <c r="AB817" s="1"/>
    </row>
    <row r="818" spans="28:28" ht="15.75" customHeight="1" x14ac:dyDescent="0.3">
      <c r="AB818" s="1"/>
    </row>
    <row r="819" spans="28:28" ht="15.75" customHeight="1" x14ac:dyDescent="0.3">
      <c r="AB819" s="1"/>
    </row>
    <row r="820" spans="28:28" ht="15.75" customHeight="1" x14ac:dyDescent="0.3">
      <c r="AB820" s="1"/>
    </row>
    <row r="821" spans="28:28" ht="15.75" customHeight="1" x14ac:dyDescent="0.3">
      <c r="AB821" s="1"/>
    </row>
    <row r="822" spans="28:28" ht="15.75" customHeight="1" x14ac:dyDescent="0.3">
      <c r="AB822" s="1"/>
    </row>
    <row r="823" spans="28:28" ht="15.75" customHeight="1" x14ac:dyDescent="0.3">
      <c r="AB823" s="1"/>
    </row>
    <row r="824" spans="28:28" ht="15.75" customHeight="1" x14ac:dyDescent="0.3">
      <c r="AB824" s="1"/>
    </row>
    <row r="825" spans="28:28" ht="15.75" customHeight="1" x14ac:dyDescent="0.3">
      <c r="AB825" s="1"/>
    </row>
    <row r="826" spans="28:28" ht="15.75" customHeight="1" x14ac:dyDescent="0.3">
      <c r="AB826" s="1"/>
    </row>
    <row r="827" spans="28:28" ht="15.75" customHeight="1" x14ac:dyDescent="0.3">
      <c r="AB827" s="1"/>
    </row>
    <row r="828" spans="28:28" ht="15.75" customHeight="1" x14ac:dyDescent="0.3">
      <c r="AB828" s="1"/>
    </row>
    <row r="829" spans="28:28" ht="15.75" customHeight="1" x14ac:dyDescent="0.3">
      <c r="AB829" s="1"/>
    </row>
    <row r="830" spans="28:28" ht="15.75" customHeight="1" x14ac:dyDescent="0.3">
      <c r="AB830" s="1"/>
    </row>
    <row r="831" spans="28:28" ht="15.75" customHeight="1" x14ac:dyDescent="0.3">
      <c r="AB831" s="1"/>
    </row>
    <row r="832" spans="28:28" ht="15.75" customHeight="1" x14ac:dyDescent="0.3">
      <c r="AB832" s="1"/>
    </row>
    <row r="833" spans="28:28" ht="15.75" customHeight="1" x14ac:dyDescent="0.3">
      <c r="AB833" s="1"/>
    </row>
    <row r="834" spans="28:28" ht="15.75" customHeight="1" x14ac:dyDescent="0.3">
      <c r="AB834" s="1"/>
    </row>
    <row r="835" spans="28:28" ht="15.75" customHeight="1" x14ac:dyDescent="0.3">
      <c r="AB835" s="1"/>
    </row>
    <row r="836" spans="28:28" ht="15.75" customHeight="1" x14ac:dyDescent="0.3">
      <c r="AB836" s="1"/>
    </row>
    <row r="837" spans="28:28" ht="15.75" customHeight="1" x14ac:dyDescent="0.3">
      <c r="AB837" s="1"/>
    </row>
    <row r="838" spans="28:28" ht="15.75" customHeight="1" x14ac:dyDescent="0.3">
      <c r="AB838" s="1"/>
    </row>
    <row r="839" spans="28:28" ht="15.75" customHeight="1" x14ac:dyDescent="0.3">
      <c r="AB839" s="1"/>
    </row>
    <row r="840" spans="28:28" ht="15.75" customHeight="1" x14ac:dyDescent="0.3">
      <c r="AB840" s="1"/>
    </row>
    <row r="841" spans="28:28" ht="15.75" customHeight="1" x14ac:dyDescent="0.3">
      <c r="AB841" s="1"/>
    </row>
    <row r="842" spans="28:28" ht="15.75" customHeight="1" x14ac:dyDescent="0.3">
      <c r="AB842" s="1"/>
    </row>
    <row r="843" spans="28:28" ht="15.75" customHeight="1" x14ac:dyDescent="0.3">
      <c r="AB843" s="1"/>
    </row>
    <row r="844" spans="28:28" ht="15.75" customHeight="1" x14ac:dyDescent="0.3">
      <c r="AB844" s="1"/>
    </row>
    <row r="845" spans="28:28" ht="15.75" customHeight="1" x14ac:dyDescent="0.3">
      <c r="AB845" s="1"/>
    </row>
    <row r="846" spans="28:28" ht="15.75" customHeight="1" x14ac:dyDescent="0.3">
      <c r="AB846" s="1"/>
    </row>
    <row r="847" spans="28:28" ht="15.75" customHeight="1" x14ac:dyDescent="0.3">
      <c r="AB847" s="1"/>
    </row>
    <row r="848" spans="28:28" ht="15.75" customHeight="1" x14ac:dyDescent="0.3">
      <c r="AB848" s="1"/>
    </row>
    <row r="849" spans="28:28" ht="15.75" customHeight="1" x14ac:dyDescent="0.3">
      <c r="AB849" s="1"/>
    </row>
    <row r="850" spans="28:28" ht="15.75" customHeight="1" x14ac:dyDescent="0.3">
      <c r="AB850" s="1"/>
    </row>
    <row r="851" spans="28:28" ht="15.75" customHeight="1" x14ac:dyDescent="0.3">
      <c r="AB851" s="1"/>
    </row>
    <row r="852" spans="28:28" ht="15.75" customHeight="1" x14ac:dyDescent="0.3">
      <c r="AB852" s="1"/>
    </row>
    <row r="853" spans="28:28" ht="15.75" customHeight="1" x14ac:dyDescent="0.3">
      <c r="AB853" s="1"/>
    </row>
    <row r="854" spans="28:28" ht="15.75" customHeight="1" x14ac:dyDescent="0.3">
      <c r="AB854" s="1"/>
    </row>
    <row r="855" spans="28:28" ht="15.75" customHeight="1" x14ac:dyDescent="0.3">
      <c r="AB855" s="1"/>
    </row>
    <row r="856" spans="28:28" ht="15.75" customHeight="1" x14ac:dyDescent="0.3">
      <c r="AB856" s="1"/>
    </row>
    <row r="857" spans="28:28" ht="15.75" customHeight="1" x14ac:dyDescent="0.3">
      <c r="AB857" s="1"/>
    </row>
    <row r="858" spans="28:28" ht="15.75" customHeight="1" x14ac:dyDescent="0.3">
      <c r="AB858" s="1"/>
    </row>
    <row r="859" spans="28:28" ht="15.75" customHeight="1" x14ac:dyDescent="0.3">
      <c r="AB859" s="1"/>
    </row>
    <row r="860" spans="28:28" ht="15.75" customHeight="1" x14ac:dyDescent="0.3">
      <c r="AB860" s="1"/>
    </row>
    <row r="861" spans="28:28" ht="15.75" customHeight="1" x14ac:dyDescent="0.3">
      <c r="AB861" s="1"/>
    </row>
    <row r="862" spans="28:28" ht="15.75" customHeight="1" x14ac:dyDescent="0.3">
      <c r="AB862" s="1"/>
    </row>
    <row r="863" spans="28:28" ht="15.75" customHeight="1" x14ac:dyDescent="0.3">
      <c r="AB863" s="1"/>
    </row>
    <row r="864" spans="28:28" ht="15.75" customHeight="1" x14ac:dyDescent="0.3">
      <c r="AB864" s="1"/>
    </row>
    <row r="865" spans="28:28" ht="15.75" customHeight="1" x14ac:dyDescent="0.3">
      <c r="AB865" s="1"/>
    </row>
    <row r="866" spans="28:28" ht="15.75" customHeight="1" x14ac:dyDescent="0.3">
      <c r="AB866" s="1"/>
    </row>
    <row r="867" spans="28:28" ht="15.75" customHeight="1" x14ac:dyDescent="0.3">
      <c r="AB867" s="1"/>
    </row>
    <row r="868" spans="28:28" ht="15.75" customHeight="1" x14ac:dyDescent="0.3">
      <c r="AB868" s="1"/>
    </row>
    <row r="869" spans="28:28" ht="15.75" customHeight="1" x14ac:dyDescent="0.3">
      <c r="AB869" s="1"/>
    </row>
    <row r="870" spans="28:28" ht="15.75" customHeight="1" x14ac:dyDescent="0.3">
      <c r="AB870" s="1"/>
    </row>
    <row r="871" spans="28:28" ht="15.75" customHeight="1" x14ac:dyDescent="0.3">
      <c r="AB871" s="1"/>
    </row>
    <row r="872" spans="28:28" ht="15.75" customHeight="1" x14ac:dyDescent="0.3">
      <c r="AB872" s="1"/>
    </row>
    <row r="873" spans="28:28" ht="15.75" customHeight="1" x14ac:dyDescent="0.3">
      <c r="AB873" s="1"/>
    </row>
    <row r="874" spans="28:28" ht="15.75" customHeight="1" x14ac:dyDescent="0.3">
      <c r="AB874" s="1"/>
    </row>
    <row r="875" spans="28:28" ht="15.75" customHeight="1" x14ac:dyDescent="0.3">
      <c r="AB875" s="1"/>
    </row>
    <row r="876" spans="28:28" ht="15.75" customHeight="1" x14ac:dyDescent="0.3">
      <c r="AB876" s="1"/>
    </row>
    <row r="877" spans="28:28" ht="15.75" customHeight="1" x14ac:dyDescent="0.3">
      <c r="AB877" s="1"/>
    </row>
    <row r="878" spans="28:28" ht="15.75" customHeight="1" x14ac:dyDescent="0.3">
      <c r="AB878" s="1"/>
    </row>
    <row r="879" spans="28:28" ht="15.75" customHeight="1" x14ac:dyDescent="0.3">
      <c r="AB879" s="1"/>
    </row>
    <row r="880" spans="28:28" ht="15.75" customHeight="1" x14ac:dyDescent="0.3">
      <c r="AB880" s="1"/>
    </row>
    <row r="881" spans="28:28" ht="15.75" customHeight="1" x14ac:dyDescent="0.3">
      <c r="AB881" s="1"/>
    </row>
    <row r="882" spans="28:28" ht="15.75" customHeight="1" x14ac:dyDescent="0.3">
      <c r="AB882" s="1"/>
    </row>
    <row r="883" spans="28:28" ht="15.75" customHeight="1" x14ac:dyDescent="0.3">
      <c r="AB883" s="1"/>
    </row>
    <row r="884" spans="28:28" ht="15.75" customHeight="1" x14ac:dyDescent="0.3">
      <c r="AB884" s="1"/>
    </row>
    <row r="885" spans="28:28" ht="15.75" customHeight="1" x14ac:dyDescent="0.3">
      <c r="AB885" s="1"/>
    </row>
    <row r="886" spans="28:28" ht="15.75" customHeight="1" x14ac:dyDescent="0.3">
      <c r="AB886" s="1"/>
    </row>
    <row r="887" spans="28:28" ht="15.75" customHeight="1" x14ac:dyDescent="0.3">
      <c r="AB887" s="1"/>
    </row>
    <row r="888" spans="28:28" ht="15.75" customHeight="1" x14ac:dyDescent="0.3">
      <c r="AB888" s="1"/>
    </row>
    <row r="889" spans="28:28" ht="15.75" customHeight="1" x14ac:dyDescent="0.3">
      <c r="AB889" s="1"/>
    </row>
    <row r="890" spans="28:28" ht="15.75" customHeight="1" x14ac:dyDescent="0.3">
      <c r="AB890" s="1"/>
    </row>
    <row r="891" spans="28:28" ht="15.75" customHeight="1" x14ac:dyDescent="0.3">
      <c r="AB891" s="1"/>
    </row>
    <row r="892" spans="28:28" ht="15.75" customHeight="1" x14ac:dyDescent="0.3">
      <c r="AB892" s="1"/>
    </row>
    <row r="893" spans="28:28" ht="15.75" customHeight="1" x14ac:dyDescent="0.3">
      <c r="AB893" s="1"/>
    </row>
    <row r="894" spans="28:28" ht="15.75" customHeight="1" x14ac:dyDescent="0.3">
      <c r="AB894" s="1"/>
    </row>
    <row r="895" spans="28:28" ht="15.75" customHeight="1" x14ac:dyDescent="0.3">
      <c r="AB895" s="1"/>
    </row>
    <row r="896" spans="28:28" ht="15.75" customHeight="1" x14ac:dyDescent="0.3">
      <c r="AB896" s="1"/>
    </row>
    <row r="897" spans="28:28" ht="15.75" customHeight="1" x14ac:dyDescent="0.3">
      <c r="AB897" s="1"/>
    </row>
    <row r="898" spans="28:28" ht="15.75" customHeight="1" x14ac:dyDescent="0.3">
      <c r="AB898" s="1"/>
    </row>
    <row r="899" spans="28:28" ht="15.75" customHeight="1" x14ac:dyDescent="0.3">
      <c r="AB899" s="1"/>
    </row>
    <row r="900" spans="28:28" ht="15.75" customHeight="1" x14ac:dyDescent="0.3">
      <c r="AB900" s="1"/>
    </row>
    <row r="901" spans="28:28" ht="15.75" customHeight="1" x14ac:dyDescent="0.3">
      <c r="AB901" s="1"/>
    </row>
    <row r="902" spans="28:28" ht="15.75" customHeight="1" x14ac:dyDescent="0.3">
      <c r="AB902" s="1"/>
    </row>
    <row r="903" spans="28:28" ht="15.75" customHeight="1" x14ac:dyDescent="0.3">
      <c r="AB903" s="1"/>
    </row>
    <row r="904" spans="28:28" ht="15.75" customHeight="1" x14ac:dyDescent="0.3">
      <c r="AB904" s="1"/>
    </row>
    <row r="905" spans="28:28" ht="15.75" customHeight="1" x14ac:dyDescent="0.3">
      <c r="AB905" s="1"/>
    </row>
    <row r="906" spans="28:28" ht="15.75" customHeight="1" x14ac:dyDescent="0.3">
      <c r="AB906" s="1"/>
    </row>
    <row r="907" spans="28:28" ht="15.75" customHeight="1" x14ac:dyDescent="0.3">
      <c r="AB907" s="1"/>
    </row>
    <row r="908" spans="28:28" ht="15.75" customHeight="1" x14ac:dyDescent="0.3">
      <c r="AB908" s="1"/>
    </row>
    <row r="909" spans="28:28" ht="15.75" customHeight="1" x14ac:dyDescent="0.3">
      <c r="AB909" s="1"/>
    </row>
    <row r="910" spans="28:28" ht="15.75" customHeight="1" x14ac:dyDescent="0.3">
      <c r="AB910" s="1"/>
    </row>
    <row r="911" spans="28:28" ht="15.75" customHeight="1" x14ac:dyDescent="0.3">
      <c r="AB911" s="1"/>
    </row>
    <row r="912" spans="28:28" ht="15.75" customHeight="1" x14ac:dyDescent="0.3">
      <c r="AB912" s="1"/>
    </row>
    <row r="913" spans="28:28" ht="15.75" customHeight="1" x14ac:dyDescent="0.3">
      <c r="AB913" s="1"/>
    </row>
    <row r="914" spans="28:28" ht="15.75" customHeight="1" x14ac:dyDescent="0.3">
      <c r="AB914" s="1"/>
    </row>
    <row r="915" spans="28:28" ht="15.75" customHeight="1" x14ac:dyDescent="0.3">
      <c r="AB915" s="1"/>
    </row>
    <row r="916" spans="28:28" ht="15.75" customHeight="1" x14ac:dyDescent="0.3">
      <c r="AB916" s="1"/>
    </row>
    <row r="917" spans="28:28" ht="15.75" customHeight="1" x14ac:dyDescent="0.3">
      <c r="AB917" s="1"/>
    </row>
    <row r="918" spans="28:28" ht="15.75" customHeight="1" x14ac:dyDescent="0.3">
      <c r="AB918" s="1"/>
    </row>
    <row r="919" spans="28:28" ht="15.75" customHeight="1" x14ac:dyDescent="0.3">
      <c r="AB919" s="1"/>
    </row>
    <row r="920" spans="28:28" ht="15.75" customHeight="1" x14ac:dyDescent="0.3">
      <c r="AB920" s="1"/>
    </row>
    <row r="921" spans="28:28" ht="15.75" customHeight="1" x14ac:dyDescent="0.3">
      <c r="AB921" s="1"/>
    </row>
    <row r="922" spans="28:28" ht="15.75" customHeight="1" x14ac:dyDescent="0.3">
      <c r="AB922" s="1"/>
    </row>
    <row r="923" spans="28:28" ht="15.75" customHeight="1" x14ac:dyDescent="0.3">
      <c r="AB923" s="1"/>
    </row>
    <row r="924" spans="28:28" ht="15.75" customHeight="1" x14ac:dyDescent="0.3">
      <c r="AB924" s="1"/>
    </row>
    <row r="925" spans="28:28" ht="15.75" customHeight="1" x14ac:dyDescent="0.3">
      <c r="AB925" s="1"/>
    </row>
    <row r="926" spans="28:28" ht="15.75" customHeight="1" x14ac:dyDescent="0.3">
      <c r="AB926" s="1"/>
    </row>
    <row r="927" spans="28:28" ht="15.75" customHeight="1" x14ac:dyDescent="0.3">
      <c r="AB927" s="1"/>
    </row>
    <row r="928" spans="28:28" ht="15.75" customHeight="1" x14ac:dyDescent="0.3">
      <c r="AB928" s="1"/>
    </row>
    <row r="929" spans="28:28" ht="15.75" customHeight="1" x14ac:dyDescent="0.3">
      <c r="AB929" s="1"/>
    </row>
    <row r="930" spans="28:28" ht="15.75" customHeight="1" x14ac:dyDescent="0.3">
      <c r="AB930" s="1"/>
    </row>
    <row r="931" spans="28:28" ht="15.75" customHeight="1" x14ac:dyDescent="0.3">
      <c r="AB931" s="1"/>
    </row>
    <row r="932" spans="28:28" ht="15.75" customHeight="1" x14ac:dyDescent="0.3">
      <c r="AB932" s="1"/>
    </row>
    <row r="933" spans="28:28" ht="15.75" customHeight="1" x14ac:dyDescent="0.3">
      <c r="AB933" s="1"/>
    </row>
    <row r="934" spans="28:28" ht="15.75" customHeight="1" x14ac:dyDescent="0.3">
      <c r="AB934" s="1"/>
    </row>
    <row r="935" spans="28:28" ht="15.75" customHeight="1" x14ac:dyDescent="0.3">
      <c r="AB935" s="1"/>
    </row>
    <row r="936" spans="28:28" ht="15.75" customHeight="1" x14ac:dyDescent="0.3">
      <c r="AB936" s="1"/>
    </row>
    <row r="937" spans="28:28" ht="15.75" customHeight="1" x14ac:dyDescent="0.3">
      <c r="AB937" s="1"/>
    </row>
    <row r="938" spans="28:28" ht="15.75" customHeight="1" x14ac:dyDescent="0.3">
      <c r="AB938" s="1"/>
    </row>
    <row r="939" spans="28:28" ht="15.75" customHeight="1" x14ac:dyDescent="0.3">
      <c r="AB939" s="1"/>
    </row>
    <row r="940" spans="28:28" ht="15.75" customHeight="1" x14ac:dyDescent="0.3">
      <c r="AB940" s="1"/>
    </row>
    <row r="941" spans="28:28" ht="15.75" customHeight="1" x14ac:dyDescent="0.3">
      <c r="AB941" s="1"/>
    </row>
    <row r="942" spans="28:28" ht="15.75" customHeight="1" x14ac:dyDescent="0.3">
      <c r="AB942" s="1"/>
    </row>
    <row r="943" spans="28:28" ht="15.75" customHeight="1" x14ac:dyDescent="0.3">
      <c r="AB943" s="1"/>
    </row>
    <row r="944" spans="28:28" ht="15.75" customHeight="1" x14ac:dyDescent="0.3">
      <c r="AB944" s="1"/>
    </row>
    <row r="945" spans="28:28" ht="15.75" customHeight="1" x14ac:dyDescent="0.3">
      <c r="AB945" s="1"/>
    </row>
    <row r="946" spans="28:28" ht="15.75" customHeight="1" x14ac:dyDescent="0.3">
      <c r="AB946" s="1"/>
    </row>
    <row r="947" spans="28:28" ht="15.75" customHeight="1" x14ac:dyDescent="0.3">
      <c r="AB947" s="1"/>
    </row>
    <row r="948" spans="28:28" ht="15.75" customHeight="1" x14ac:dyDescent="0.3">
      <c r="AB948" s="1"/>
    </row>
    <row r="949" spans="28:28" ht="15.75" customHeight="1" x14ac:dyDescent="0.3">
      <c r="AB949" s="1"/>
    </row>
    <row r="950" spans="28:28" ht="15.75" customHeight="1" x14ac:dyDescent="0.3">
      <c r="AB950" s="1"/>
    </row>
    <row r="951" spans="28:28" ht="15.75" customHeight="1" x14ac:dyDescent="0.3">
      <c r="AB951" s="1"/>
    </row>
    <row r="952" spans="28:28" ht="15.75" customHeight="1" x14ac:dyDescent="0.3">
      <c r="AB952" s="1"/>
    </row>
    <row r="953" spans="28:28" ht="15.75" customHeight="1" x14ac:dyDescent="0.3">
      <c r="AB953" s="1"/>
    </row>
    <row r="954" spans="28:28" ht="15.75" customHeight="1" x14ac:dyDescent="0.3">
      <c r="AB954" s="1"/>
    </row>
    <row r="955" spans="28:28" ht="15.75" customHeight="1" x14ac:dyDescent="0.3">
      <c r="AB955" s="1"/>
    </row>
    <row r="956" spans="28:28" ht="15.75" customHeight="1" x14ac:dyDescent="0.3">
      <c r="AB956" s="1"/>
    </row>
    <row r="957" spans="28:28" ht="15.75" customHeight="1" x14ac:dyDescent="0.3">
      <c r="AB957" s="1"/>
    </row>
    <row r="958" spans="28:28" ht="15.75" customHeight="1" x14ac:dyDescent="0.3">
      <c r="AB958" s="1"/>
    </row>
    <row r="959" spans="28:28" ht="15.75" customHeight="1" x14ac:dyDescent="0.3">
      <c r="AB959" s="1"/>
    </row>
    <row r="960" spans="28:28" ht="15.75" customHeight="1" x14ac:dyDescent="0.3">
      <c r="AB960" s="1"/>
    </row>
    <row r="961" spans="28:28" ht="15.75" customHeight="1" x14ac:dyDescent="0.3">
      <c r="AB961" s="1"/>
    </row>
    <row r="962" spans="28:28" ht="15.75" customHeight="1" x14ac:dyDescent="0.3">
      <c r="AB962" s="1"/>
    </row>
    <row r="963" spans="28:28" ht="15.75" customHeight="1" x14ac:dyDescent="0.3">
      <c r="AB963" s="1"/>
    </row>
    <row r="964" spans="28:28" ht="15.75" customHeight="1" x14ac:dyDescent="0.3">
      <c r="AB964" s="1"/>
    </row>
    <row r="965" spans="28:28" ht="15.75" customHeight="1" x14ac:dyDescent="0.3">
      <c r="AB965" s="1"/>
    </row>
    <row r="966" spans="28:28" ht="15.75" customHeight="1" x14ac:dyDescent="0.3">
      <c r="AB966" s="1"/>
    </row>
    <row r="967" spans="28:28" ht="15.75" customHeight="1" x14ac:dyDescent="0.3">
      <c r="AB967" s="1"/>
    </row>
    <row r="968" spans="28:28" ht="15.75" customHeight="1" x14ac:dyDescent="0.3">
      <c r="AB968" s="1"/>
    </row>
    <row r="969" spans="28:28" ht="15.75" customHeight="1" x14ac:dyDescent="0.3">
      <c r="AB969" s="1"/>
    </row>
    <row r="970" spans="28:28" ht="15.75" customHeight="1" x14ac:dyDescent="0.3">
      <c r="AB970" s="1"/>
    </row>
    <row r="971" spans="28:28" ht="15.75" customHeight="1" x14ac:dyDescent="0.3">
      <c r="AB971" s="1"/>
    </row>
    <row r="972" spans="28:28" ht="15.75" customHeight="1" x14ac:dyDescent="0.3">
      <c r="AB972" s="1"/>
    </row>
    <row r="973" spans="28:28" ht="15.75" customHeight="1" x14ac:dyDescent="0.3">
      <c r="AB973" s="1"/>
    </row>
    <row r="974" spans="28:28" ht="15.75" customHeight="1" x14ac:dyDescent="0.3">
      <c r="AB974" s="1"/>
    </row>
    <row r="975" spans="28:28" ht="15.75" customHeight="1" x14ac:dyDescent="0.3">
      <c r="AB975" s="1"/>
    </row>
    <row r="976" spans="28:28" ht="15.75" customHeight="1" x14ac:dyDescent="0.3">
      <c r="AB976" s="1"/>
    </row>
    <row r="977" spans="28:28" ht="15.75" customHeight="1" x14ac:dyDescent="0.3">
      <c r="AB977" s="1"/>
    </row>
    <row r="978" spans="28:28" ht="15.75" customHeight="1" x14ac:dyDescent="0.3">
      <c r="AB978" s="1"/>
    </row>
    <row r="979" spans="28:28" ht="15.75" customHeight="1" x14ac:dyDescent="0.3">
      <c r="AB979" s="1"/>
    </row>
    <row r="980" spans="28:28" ht="15.75" customHeight="1" x14ac:dyDescent="0.3">
      <c r="AB980" s="1"/>
    </row>
    <row r="981" spans="28:28" ht="15.75" customHeight="1" x14ac:dyDescent="0.3">
      <c r="AB981" s="1"/>
    </row>
    <row r="982" spans="28:28" ht="15.75" customHeight="1" x14ac:dyDescent="0.3">
      <c r="AB982" s="1"/>
    </row>
    <row r="983" spans="28:28" ht="15.75" customHeight="1" x14ac:dyDescent="0.3">
      <c r="AB983" s="1"/>
    </row>
    <row r="984" spans="28:28" ht="15.75" customHeight="1" x14ac:dyDescent="0.3">
      <c r="AB984" s="1"/>
    </row>
    <row r="985" spans="28:28" ht="15.75" customHeight="1" x14ac:dyDescent="0.3">
      <c r="AB985" s="1"/>
    </row>
    <row r="986" spans="28:28" ht="15.75" customHeight="1" x14ac:dyDescent="0.3">
      <c r="AB986" s="1"/>
    </row>
    <row r="987" spans="28:28" ht="15.75" customHeight="1" x14ac:dyDescent="0.3">
      <c r="AB987" s="1"/>
    </row>
    <row r="988" spans="28:28" ht="15.75" customHeight="1" x14ac:dyDescent="0.3">
      <c r="AB988" s="1"/>
    </row>
    <row r="989" spans="28:28" ht="15.75" customHeight="1" x14ac:dyDescent="0.3">
      <c r="AB989" s="1"/>
    </row>
    <row r="990" spans="28:28" ht="15.75" customHeight="1" x14ac:dyDescent="0.3">
      <c r="AB990" s="1"/>
    </row>
    <row r="991" spans="28:28" ht="15.75" customHeight="1" x14ac:dyDescent="0.3">
      <c r="AB991" s="1"/>
    </row>
    <row r="992" spans="28:28" ht="15.75" customHeight="1" x14ac:dyDescent="0.3">
      <c r="AB992" s="1"/>
    </row>
    <row r="993" spans="28:28" ht="15.75" customHeight="1" x14ac:dyDescent="0.3">
      <c r="AB993" s="1"/>
    </row>
    <row r="994" spans="28:28" ht="15.75" customHeight="1" x14ac:dyDescent="0.3">
      <c r="AB994" s="1"/>
    </row>
    <row r="995" spans="28:28" ht="15.75" customHeight="1" x14ac:dyDescent="0.3">
      <c r="AB995" s="1"/>
    </row>
    <row r="996" spans="28:28" ht="15.75" customHeight="1" x14ac:dyDescent="0.3">
      <c r="AB996" s="1"/>
    </row>
    <row r="997" spans="28:28" ht="15.75" customHeight="1" x14ac:dyDescent="0.3">
      <c r="AB997" s="1"/>
    </row>
    <row r="998" spans="28:28" ht="15.75" customHeight="1" x14ac:dyDescent="0.3">
      <c r="AB998" s="1"/>
    </row>
    <row r="999" spans="28:28" ht="15.75" customHeight="1" x14ac:dyDescent="0.3">
      <c r="AB999" s="1"/>
    </row>
    <row r="1000" spans="28:28" ht="15.75" customHeight="1" x14ac:dyDescent="0.3">
      <c r="AB1000" s="1"/>
    </row>
    <row r="1001" spans="28:28" ht="15.75" customHeight="1" x14ac:dyDescent="0.3">
      <c r="AB1001" s="1"/>
    </row>
    <row r="1002" spans="28:28" ht="15.75" customHeight="1" x14ac:dyDescent="0.3">
      <c r="AB1002" s="1"/>
    </row>
    <row r="1003" spans="28:28" ht="15.75" customHeight="1" x14ac:dyDescent="0.3">
      <c r="AB1003" s="1"/>
    </row>
    <row r="1004" spans="28:28" ht="15.75" customHeight="1" x14ac:dyDescent="0.3">
      <c r="AB1004" s="1"/>
    </row>
    <row r="1005" spans="28:28" ht="15.75" customHeight="1" x14ac:dyDescent="0.3">
      <c r="AB1005" s="1"/>
    </row>
    <row r="1006" spans="28:28" ht="15.75" customHeight="1" x14ac:dyDescent="0.3">
      <c r="AB1006" s="1"/>
    </row>
    <row r="1007" spans="28:28" ht="15.75" customHeight="1" x14ac:dyDescent="0.3">
      <c r="AB1007" s="1"/>
    </row>
    <row r="1008" spans="28:28" ht="15.75" customHeight="1" x14ac:dyDescent="0.3">
      <c r="AB1008" s="1"/>
    </row>
    <row r="1009" spans="28:28" ht="15.75" customHeight="1" x14ac:dyDescent="0.3">
      <c r="AB1009" s="1"/>
    </row>
    <row r="1010" spans="28:28" ht="15.75" customHeight="1" x14ac:dyDescent="0.3">
      <c r="AB1010" s="1"/>
    </row>
    <row r="1011" spans="28:28" ht="15.75" customHeight="1" x14ac:dyDescent="0.3">
      <c r="AB1011" s="1"/>
    </row>
    <row r="1012" spans="28:28" ht="15.75" customHeight="1" x14ac:dyDescent="0.3">
      <c r="AB1012" s="1"/>
    </row>
    <row r="1013" spans="28:28" ht="15.75" customHeight="1" x14ac:dyDescent="0.3">
      <c r="AB1013" s="1"/>
    </row>
    <row r="1014" spans="28:28" ht="15.75" customHeight="1" x14ac:dyDescent="0.3">
      <c r="AB1014" s="1"/>
    </row>
    <row r="1015" spans="28:28" ht="15.75" customHeight="1" x14ac:dyDescent="0.3">
      <c r="AB1015" s="1"/>
    </row>
    <row r="1016" spans="28:28" ht="15.75" customHeight="1" x14ac:dyDescent="0.3">
      <c r="AB1016" s="1"/>
    </row>
    <row r="1017" spans="28:28" ht="15.75" customHeight="1" x14ac:dyDescent="0.3">
      <c r="AB1017" s="1"/>
    </row>
    <row r="1018" spans="28:28" ht="15.75" customHeight="1" x14ac:dyDescent="0.3">
      <c r="AB1018" s="1"/>
    </row>
    <row r="1019" spans="28:28" ht="15.75" customHeight="1" x14ac:dyDescent="0.3">
      <c r="AB1019" s="1"/>
    </row>
    <row r="1020" spans="28:28" ht="15.75" customHeight="1" x14ac:dyDescent="0.3">
      <c r="AB1020" s="1"/>
    </row>
    <row r="1021" spans="28:28" ht="15.75" customHeight="1" x14ac:dyDescent="0.3">
      <c r="AB1021" s="1"/>
    </row>
    <row r="1022" spans="28:28" ht="15.75" customHeight="1" x14ac:dyDescent="0.3">
      <c r="AB1022" s="1"/>
    </row>
    <row r="1023" spans="28:28" ht="15.75" customHeight="1" x14ac:dyDescent="0.3">
      <c r="AB1023" s="1"/>
    </row>
    <row r="1024" spans="28:28" ht="15.75" customHeight="1" x14ac:dyDescent="0.3">
      <c r="AB1024" s="1"/>
    </row>
    <row r="1025" spans="28:28" ht="15.75" customHeight="1" x14ac:dyDescent="0.3">
      <c r="AB1025" s="1"/>
    </row>
    <row r="1026" spans="28:28" ht="15.75" customHeight="1" x14ac:dyDescent="0.3">
      <c r="AB1026" s="1"/>
    </row>
    <row r="1027" spans="28:28" ht="15.75" customHeight="1" x14ac:dyDescent="0.3">
      <c r="AB1027" s="1"/>
    </row>
    <row r="1028" spans="28:28" ht="15.75" customHeight="1" x14ac:dyDescent="0.3">
      <c r="AB1028" s="1"/>
    </row>
    <row r="1029" spans="28:28" ht="15.75" customHeight="1" x14ac:dyDescent="0.3">
      <c r="AB1029" s="1"/>
    </row>
    <row r="1030" spans="28:28" ht="15.75" customHeight="1" x14ac:dyDescent="0.3">
      <c r="AB1030" s="1"/>
    </row>
    <row r="1031" spans="28:28" ht="15.75" customHeight="1" x14ac:dyDescent="0.3">
      <c r="AB1031" s="1"/>
    </row>
    <row r="1032" spans="28:28" ht="15.75" customHeight="1" x14ac:dyDescent="0.3">
      <c r="AB1032" s="1"/>
    </row>
    <row r="1033" spans="28:28" ht="15.75" customHeight="1" x14ac:dyDescent="0.3">
      <c r="AB1033" s="1"/>
    </row>
    <row r="1034" spans="28:28" ht="15.75" customHeight="1" x14ac:dyDescent="0.3">
      <c r="AB1034" s="1"/>
    </row>
    <row r="1035" spans="28:28" ht="15.75" customHeight="1" x14ac:dyDescent="0.3">
      <c r="AB1035" s="1"/>
    </row>
    <row r="1036" spans="28:28" ht="15.75" customHeight="1" x14ac:dyDescent="0.3">
      <c r="AB1036" s="1"/>
    </row>
    <row r="1037" spans="28:28" ht="15.75" customHeight="1" x14ac:dyDescent="0.3">
      <c r="AB1037" s="1"/>
    </row>
    <row r="1038" spans="28:28" ht="15.75" customHeight="1" x14ac:dyDescent="0.3">
      <c r="AB1038" s="1"/>
    </row>
    <row r="1039" spans="28:28" ht="15.75" customHeight="1" x14ac:dyDescent="0.3">
      <c r="AB1039" s="1"/>
    </row>
    <row r="1040" spans="28:28" ht="14.4" x14ac:dyDescent="0.3">
      <c r="AB1040" s="1"/>
    </row>
    <row r="1041" spans="28:28" ht="14.4" x14ac:dyDescent="0.3">
      <c r="AB1041" s="1"/>
    </row>
    <row r="1042" spans="28:28" ht="15.75" customHeight="1" x14ac:dyDescent="0.3">
      <c r="AB1042" s="1"/>
    </row>
    <row r="1043" spans="28:28" ht="15.75" customHeight="1" x14ac:dyDescent="0.3">
      <c r="AB1043" s="1"/>
    </row>
    <row r="1044" spans="28:28" ht="15.75" customHeight="1" x14ac:dyDescent="0.3">
      <c r="AB1044" s="1"/>
    </row>
    <row r="1045" spans="28:28" ht="15.75" customHeight="1" x14ac:dyDescent="0.3">
      <c r="AB1045" s="1"/>
    </row>
    <row r="1046" spans="28:28" ht="15.75" customHeight="1" x14ac:dyDescent="0.3">
      <c r="AB1046" s="1"/>
    </row>
    <row r="1047" spans="28:28" ht="15.75" customHeight="1" x14ac:dyDescent="0.3">
      <c r="AB1047" s="1"/>
    </row>
    <row r="1048" spans="28:28" ht="15.75" customHeight="1" x14ac:dyDescent="0.3">
      <c r="AB1048" s="1"/>
    </row>
    <row r="1049" spans="28:28" ht="15.75" customHeight="1" x14ac:dyDescent="0.3">
      <c r="AB1049" s="1"/>
    </row>
  </sheetData>
  <mergeCells count="15">
    <mergeCell ref="W3:X3"/>
    <mergeCell ref="AA3:AD3"/>
    <mergeCell ref="B1:Z1"/>
    <mergeCell ref="A3:A6"/>
    <mergeCell ref="C3:D3"/>
    <mergeCell ref="E3:F3"/>
    <mergeCell ref="G3:H3"/>
    <mergeCell ref="I3:J3"/>
    <mergeCell ref="K3:L3"/>
    <mergeCell ref="Y3:Z3"/>
    <mergeCell ref="M3:N3"/>
    <mergeCell ref="O3:P3"/>
    <mergeCell ref="Q3:R3"/>
    <mergeCell ref="S3:T3"/>
    <mergeCell ref="U3:V3"/>
  </mergeCells>
  <pageMargins left="0.7" right="0.7" top="0.75" bottom="0.75" header="0" footer="0"/>
  <pageSetup orientation="landscape"/>
  <headerFooter>
    <oddHeader>&amp;CPLANEJAMENTO 2021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showGridLines="0" workbookViewId="0"/>
  </sheetViews>
  <sheetFormatPr defaultColWidth="14.44140625" defaultRowHeight="15" customHeight="1" x14ac:dyDescent="0.3"/>
  <cols>
    <col min="1" max="1" width="14.88671875" style="65" bestFit="1" customWidth="1"/>
    <col min="2" max="3" width="31.109375" customWidth="1"/>
    <col min="4" max="4" width="25.88671875" customWidth="1"/>
    <col min="5" max="6" width="8" customWidth="1"/>
    <col min="7" max="7" width="2.5546875" customWidth="1"/>
    <col min="8" max="9" width="8" customWidth="1"/>
  </cols>
  <sheetData>
    <row r="1" spans="1:8" ht="23.25" customHeight="1" x14ac:dyDescent="0.45">
      <c r="A1" s="159"/>
      <c r="B1" s="161" t="s">
        <v>291</v>
      </c>
      <c r="C1" s="161"/>
      <c r="D1" s="160"/>
      <c r="E1" s="160"/>
      <c r="F1" s="160"/>
    </row>
    <row r="2" spans="1:8" ht="15.75" customHeight="1" x14ac:dyDescent="0.3">
      <c r="A2" s="137" t="s">
        <v>292</v>
      </c>
      <c r="B2" s="162" t="s">
        <v>293</v>
      </c>
      <c r="C2" s="162"/>
      <c r="D2" s="162" t="s">
        <v>294</v>
      </c>
      <c r="E2" s="162" t="s">
        <v>295</v>
      </c>
      <c r="F2" s="522" t="s">
        <v>296</v>
      </c>
      <c r="H2" s="1"/>
    </row>
    <row r="3" spans="1:8" ht="14.4" x14ac:dyDescent="0.3">
      <c r="A3" s="138" t="s">
        <v>297</v>
      </c>
      <c r="B3" s="1" t="s">
        <v>298</v>
      </c>
      <c r="C3" s="1" t="s">
        <v>299</v>
      </c>
      <c r="D3" s="58" t="s">
        <v>300</v>
      </c>
      <c r="E3" s="1" t="s">
        <v>301</v>
      </c>
      <c r="F3" s="59">
        <v>46023</v>
      </c>
      <c r="H3" s="1" t="s">
        <v>0</v>
      </c>
    </row>
    <row r="4" spans="1:8" ht="14.4" x14ac:dyDescent="0.3">
      <c r="A4" s="139" t="s">
        <v>302</v>
      </c>
      <c r="B4" s="494" t="s">
        <v>303</v>
      </c>
      <c r="C4" s="494" t="s">
        <v>304</v>
      </c>
      <c r="D4" s="58" t="s">
        <v>305</v>
      </c>
      <c r="E4" s="1" t="s">
        <v>306</v>
      </c>
      <c r="F4" s="59">
        <v>46054</v>
      </c>
    </row>
    <row r="5" spans="1:8" ht="14.4" x14ac:dyDescent="0.3">
      <c r="A5" s="139" t="s">
        <v>297</v>
      </c>
      <c r="B5" s="494" t="s">
        <v>307</v>
      </c>
      <c r="C5" s="494" t="s">
        <v>308</v>
      </c>
      <c r="D5" s="58" t="s">
        <v>309</v>
      </c>
      <c r="F5" s="59">
        <v>46082</v>
      </c>
    </row>
    <row r="6" spans="1:8" ht="14.4" x14ac:dyDescent="0.3">
      <c r="A6" s="138" t="s">
        <v>297</v>
      </c>
      <c r="B6" s="1" t="s">
        <v>310</v>
      </c>
      <c r="C6" s="1" t="s">
        <v>68</v>
      </c>
      <c r="D6" s="58" t="s">
        <v>311</v>
      </c>
      <c r="E6" s="1" t="s">
        <v>312</v>
      </c>
      <c r="F6" s="59">
        <v>46113</v>
      </c>
    </row>
    <row r="7" spans="1:8" ht="14.4" x14ac:dyDescent="0.3">
      <c r="A7" s="138" t="s">
        <v>297</v>
      </c>
      <c r="B7" s="1" t="s">
        <v>313</v>
      </c>
      <c r="C7" s="1" t="s">
        <v>101</v>
      </c>
      <c r="D7" s="58"/>
      <c r="E7" s="1" t="s">
        <v>314</v>
      </c>
      <c r="F7" s="59">
        <v>46143</v>
      </c>
    </row>
    <row r="8" spans="1:8" ht="14.4" x14ac:dyDescent="0.3">
      <c r="A8" s="138" t="s">
        <v>297</v>
      </c>
      <c r="B8" s="1" t="s">
        <v>315</v>
      </c>
      <c r="C8" s="1" t="s">
        <v>106</v>
      </c>
      <c r="F8" s="59">
        <v>46174</v>
      </c>
    </row>
    <row r="9" spans="1:8" ht="14.4" x14ac:dyDescent="0.3">
      <c r="A9" s="138" t="s">
        <v>297</v>
      </c>
      <c r="B9" s="1" t="s">
        <v>316</v>
      </c>
      <c r="C9" s="1" t="s">
        <v>122</v>
      </c>
      <c r="F9" s="59">
        <v>46204</v>
      </c>
    </row>
    <row r="10" spans="1:8" ht="14.4" x14ac:dyDescent="0.3">
      <c r="A10" s="138" t="s">
        <v>297</v>
      </c>
      <c r="B10" s="1" t="s">
        <v>317</v>
      </c>
      <c r="C10" s="1" t="s">
        <v>318</v>
      </c>
      <c r="F10" s="59">
        <v>46235</v>
      </c>
    </row>
    <row r="11" spans="1:8" ht="14.4" x14ac:dyDescent="0.3">
      <c r="A11" s="138" t="s">
        <v>297</v>
      </c>
      <c r="B11" s="1" t="s">
        <v>319</v>
      </c>
      <c r="C11" s="1" t="s">
        <v>320</v>
      </c>
      <c r="F11" s="59">
        <v>46266</v>
      </c>
    </row>
    <row r="12" spans="1:8" ht="14.4" x14ac:dyDescent="0.3">
      <c r="A12" s="138" t="s">
        <v>297</v>
      </c>
      <c r="B12" s="1" t="s">
        <v>321</v>
      </c>
      <c r="C12" s="1" t="s">
        <v>322</v>
      </c>
      <c r="F12" s="59">
        <v>46296</v>
      </c>
    </row>
    <row r="13" spans="1:8" ht="14.4" x14ac:dyDescent="0.3">
      <c r="A13" s="139" t="s">
        <v>302</v>
      </c>
      <c r="B13" s="1" t="s">
        <v>11</v>
      </c>
      <c r="C13" s="1" t="s">
        <v>323</v>
      </c>
      <c r="F13" s="59">
        <v>46327</v>
      </c>
    </row>
    <row r="14" spans="1:8" ht="14.4" x14ac:dyDescent="0.3">
      <c r="A14" s="138" t="s">
        <v>297</v>
      </c>
      <c r="B14" s="1" t="s">
        <v>122</v>
      </c>
      <c r="C14" s="1" t="s">
        <v>324</v>
      </c>
      <c r="F14" s="59">
        <v>46357</v>
      </c>
    </row>
    <row r="15" spans="1:8" ht="14.4" x14ac:dyDescent="0.3">
      <c r="A15" s="138" t="s">
        <v>297</v>
      </c>
      <c r="B15" s="1" t="s">
        <v>106</v>
      </c>
      <c r="C15" s="58"/>
      <c r="F15" s="60" t="s">
        <v>0</v>
      </c>
    </row>
    <row r="16" spans="1:8" ht="14.4" x14ac:dyDescent="0.3">
      <c r="A16" s="138" t="s">
        <v>297</v>
      </c>
      <c r="B16" s="1" t="s">
        <v>325</v>
      </c>
      <c r="C16" s="58"/>
    </row>
    <row r="17" spans="1:3" ht="14.4" x14ac:dyDescent="0.3">
      <c r="A17" s="138" t="s">
        <v>297</v>
      </c>
      <c r="B17" s="1" t="s">
        <v>326</v>
      </c>
      <c r="C17" s="58"/>
    </row>
    <row r="18" spans="1:3" ht="14.4" x14ac:dyDescent="0.3">
      <c r="A18" s="138" t="s">
        <v>297</v>
      </c>
      <c r="B18" s="1" t="s">
        <v>327</v>
      </c>
      <c r="C18" s="58"/>
    </row>
    <row r="19" spans="1:3" ht="15" customHeight="1" x14ac:dyDescent="0.3">
      <c r="A19" s="138" t="s">
        <v>297</v>
      </c>
      <c r="B19" s="1" t="s">
        <v>328</v>
      </c>
      <c r="C19" s="58"/>
    </row>
    <row r="20" spans="1:3" ht="15" customHeight="1" x14ac:dyDescent="0.3">
      <c r="A20" s="138" t="s">
        <v>297</v>
      </c>
      <c r="B20" s="1" t="s">
        <v>329</v>
      </c>
      <c r="C20" s="58"/>
    </row>
    <row r="21" spans="1:3" ht="15.75" customHeight="1" x14ac:dyDescent="0.3">
      <c r="A21" s="138" t="s">
        <v>297</v>
      </c>
      <c r="B21" s="1" t="s">
        <v>330</v>
      </c>
      <c r="C21" s="58"/>
    </row>
    <row r="22" spans="1:3" ht="15.75" customHeight="1" x14ac:dyDescent="0.3">
      <c r="A22" s="139" t="s">
        <v>297</v>
      </c>
      <c r="B22" s="494" t="s">
        <v>331</v>
      </c>
      <c r="C22" s="66"/>
    </row>
    <row r="23" spans="1:3" ht="15.75" customHeight="1" x14ac:dyDescent="0.3">
      <c r="A23" s="139" t="s">
        <v>297</v>
      </c>
      <c r="B23" s="494" t="s">
        <v>332</v>
      </c>
      <c r="C23" s="66"/>
    </row>
    <row r="24" spans="1:3" ht="15.75" customHeight="1" x14ac:dyDescent="0.3">
      <c r="A24" s="139" t="s">
        <v>297</v>
      </c>
      <c r="B24" s="494" t="s">
        <v>333</v>
      </c>
      <c r="C24" s="66"/>
    </row>
    <row r="25" spans="1:3" ht="15.75" customHeight="1" x14ac:dyDescent="0.3">
      <c r="A25" s="139" t="s">
        <v>297</v>
      </c>
      <c r="B25" s="494" t="s">
        <v>334</v>
      </c>
      <c r="C25" s="66"/>
    </row>
    <row r="26" spans="1:3" ht="15.75" customHeight="1" x14ac:dyDescent="0.3">
      <c r="A26" s="139" t="s">
        <v>297</v>
      </c>
      <c r="B26" s="494" t="s">
        <v>335</v>
      </c>
      <c r="C26" s="66"/>
    </row>
    <row r="27" spans="1:3" ht="15.75" customHeight="1" x14ac:dyDescent="0.3">
      <c r="A27" s="139" t="s">
        <v>297</v>
      </c>
      <c r="B27" s="494" t="s">
        <v>336</v>
      </c>
      <c r="C27" s="66"/>
    </row>
    <row r="28" spans="1:3" ht="15.75" customHeight="1" x14ac:dyDescent="0.3">
      <c r="A28" s="139" t="s">
        <v>297</v>
      </c>
      <c r="B28" s="494" t="s">
        <v>331</v>
      </c>
      <c r="C28" s="66"/>
    </row>
    <row r="29" spans="1:3" ht="15.75" customHeight="1" x14ac:dyDescent="0.3">
      <c r="A29" s="139" t="s">
        <v>297</v>
      </c>
      <c r="B29" s="494" t="s">
        <v>337</v>
      </c>
      <c r="C29" s="66"/>
    </row>
    <row r="30" spans="1:3" ht="15.75" customHeight="1" x14ac:dyDescent="0.3">
      <c r="A30" s="139" t="s">
        <v>297</v>
      </c>
      <c r="B30" s="494" t="s">
        <v>338</v>
      </c>
      <c r="C30" s="66"/>
    </row>
    <row r="31" spans="1:3" ht="15.75" customHeight="1" x14ac:dyDescent="0.3">
      <c r="A31" s="139" t="s">
        <v>297</v>
      </c>
      <c r="B31" s="494" t="s">
        <v>339</v>
      </c>
      <c r="C31" s="66"/>
    </row>
    <row r="32" spans="1:3" ht="15.75" customHeight="1" x14ac:dyDescent="0.3">
      <c r="A32" s="139" t="s">
        <v>297</v>
      </c>
      <c r="B32" s="494" t="s">
        <v>340</v>
      </c>
      <c r="C32" s="66"/>
    </row>
    <row r="33" spans="1:3" ht="15.75" customHeight="1" x14ac:dyDescent="0.3">
      <c r="A33" s="139" t="s">
        <v>297</v>
      </c>
      <c r="B33" s="494" t="s">
        <v>341</v>
      </c>
      <c r="C33" s="66"/>
    </row>
    <row r="34" spans="1:3" ht="15.75" customHeight="1" x14ac:dyDescent="0.3">
      <c r="A34" s="139" t="s">
        <v>297</v>
      </c>
      <c r="B34" s="494" t="s">
        <v>330</v>
      </c>
      <c r="C34" s="66"/>
    </row>
    <row r="35" spans="1:3" ht="15.75" customHeight="1" x14ac:dyDescent="0.3">
      <c r="A35" s="139" t="s">
        <v>297</v>
      </c>
      <c r="B35" s="494" t="s">
        <v>342</v>
      </c>
      <c r="C35" s="66"/>
    </row>
    <row r="36" spans="1:3" ht="15.75" customHeight="1" x14ac:dyDescent="0.3">
      <c r="A36" s="139" t="s">
        <v>297</v>
      </c>
      <c r="B36" s="494" t="s">
        <v>343</v>
      </c>
      <c r="C36" s="66"/>
    </row>
    <row r="37" spans="1:3" ht="15.75" customHeight="1" x14ac:dyDescent="0.3">
      <c r="A37" s="139" t="s">
        <v>297</v>
      </c>
      <c r="B37" s="494" t="s">
        <v>344</v>
      </c>
      <c r="C37" s="66"/>
    </row>
    <row r="38" spans="1:3" ht="15.75" customHeight="1" x14ac:dyDescent="0.3">
      <c r="A38" s="139" t="s">
        <v>297</v>
      </c>
      <c r="B38" s="494" t="s">
        <v>345</v>
      </c>
      <c r="C38" s="66"/>
    </row>
    <row r="39" spans="1:3" ht="15.75" customHeight="1" x14ac:dyDescent="0.3">
      <c r="A39" s="139" t="s">
        <v>297</v>
      </c>
      <c r="B39" s="494" t="s">
        <v>346</v>
      </c>
      <c r="C39" s="66"/>
    </row>
    <row r="40" spans="1:3" ht="15.75" customHeight="1" x14ac:dyDescent="0.3">
      <c r="A40" s="139" t="s">
        <v>297</v>
      </c>
      <c r="B40" s="494" t="s">
        <v>347</v>
      </c>
      <c r="C40" s="66"/>
    </row>
    <row r="41" spans="1:3" ht="15.75" customHeight="1" x14ac:dyDescent="0.3">
      <c r="A41" s="139" t="s">
        <v>297</v>
      </c>
      <c r="B41" s="494" t="s">
        <v>348</v>
      </c>
      <c r="C41" s="66"/>
    </row>
    <row r="42" spans="1:3" ht="15.75" customHeight="1" x14ac:dyDescent="0.3">
      <c r="A42" s="139" t="s">
        <v>349</v>
      </c>
      <c r="B42" s="494" t="s">
        <v>350</v>
      </c>
      <c r="C42" s="66"/>
    </row>
    <row r="43" spans="1:3" ht="15.75" customHeight="1" x14ac:dyDescent="0.3">
      <c r="A43" s="139" t="s">
        <v>349</v>
      </c>
      <c r="B43" s="494" t="s">
        <v>351</v>
      </c>
      <c r="C43" s="66"/>
    </row>
    <row r="44" spans="1:3" ht="15.75" customHeight="1" x14ac:dyDescent="0.3">
      <c r="A44" s="139" t="s">
        <v>349</v>
      </c>
      <c r="B44" s="494" t="s">
        <v>352</v>
      </c>
      <c r="C44" s="66"/>
    </row>
    <row r="45" spans="1:3" ht="15.75" customHeight="1" x14ac:dyDescent="0.3">
      <c r="A45" s="139" t="s">
        <v>297</v>
      </c>
      <c r="B45" s="494" t="s">
        <v>289</v>
      </c>
      <c r="C45" s="66"/>
    </row>
    <row r="46" spans="1:3" ht="15.75" customHeight="1" x14ac:dyDescent="0.3">
      <c r="A46" s="139" t="s">
        <v>302</v>
      </c>
      <c r="B46" s="494" t="s">
        <v>299</v>
      </c>
      <c r="C46" s="66"/>
    </row>
    <row r="47" spans="1:3" ht="15.75" customHeight="1" x14ac:dyDescent="0.3">
      <c r="A47" s="139" t="s">
        <v>302</v>
      </c>
      <c r="B47" s="494" t="s">
        <v>75</v>
      </c>
      <c r="C47" s="66"/>
    </row>
    <row r="48" spans="1:3" ht="15.75" customHeight="1" x14ac:dyDescent="0.3">
      <c r="A48" s="139" t="s">
        <v>302</v>
      </c>
      <c r="B48" s="494" t="s">
        <v>72</v>
      </c>
      <c r="C48" s="66"/>
    </row>
    <row r="49" spans="1:3" ht="15.75" customHeight="1" x14ac:dyDescent="0.3">
      <c r="A49" s="139"/>
      <c r="B49" s="66" t="s">
        <v>353</v>
      </c>
      <c r="C49" s="66"/>
    </row>
    <row r="50" spans="1:3" ht="15.75" customHeight="1" x14ac:dyDescent="0.3">
      <c r="A50" s="139"/>
      <c r="B50" s="66"/>
      <c r="C50" s="66"/>
    </row>
    <row r="51" spans="1:3" ht="15.75" customHeight="1" x14ac:dyDescent="0.3">
      <c r="A51" s="139"/>
      <c r="B51" s="66"/>
      <c r="C51" s="66"/>
    </row>
    <row r="52" spans="1:3" ht="15.75" customHeight="1" x14ac:dyDescent="0.3">
      <c r="A52" s="139"/>
      <c r="B52" s="66"/>
      <c r="C52" s="66"/>
    </row>
    <row r="53" spans="1:3" ht="15.75" customHeight="1" x14ac:dyDescent="0.3">
      <c r="A53" s="139"/>
      <c r="B53" s="66"/>
      <c r="C53" s="66"/>
    </row>
    <row r="54" spans="1:3" ht="15.75" customHeight="1" x14ac:dyDescent="0.3">
      <c r="A54" s="139"/>
      <c r="B54" s="66"/>
      <c r="C54" s="66"/>
    </row>
    <row r="55" spans="1:3" ht="15.75" customHeight="1" x14ac:dyDescent="0.3">
      <c r="A55" s="139"/>
      <c r="B55" s="66"/>
      <c r="C55" s="66"/>
    </row>
    <row r="56" spans="1:3" ht="15.75" customHeight="1" x14ac:dyDescent="0.3">
      <c r="A56" s="139"/>
      <c r="B56" s="66"/>
      <c r="C56" s="66"/>
    </row>
    <row r="57" spans="1:3" ht="15.75" customHeight="1" x14ac:dyDescent="0.3">
      <c r="A57" s="139"/>
      <c r="B57" s="66"/>
      <c r="C57" s="66"/>
    </row>
    <row r="58" spans="1:3" ht="15.75" customHeight="1" x14ac:dyDescent="0.3">
      <c r="A58" s="139"/>
      <c r="B58" s="66"/>
      <c r="C58" s="66"/>
    </row>
    <row r="59" spans="1:3" ht="15.75" customHeight="1" x14ac:dyDescent="0.3">
      <c r="A59" s="139"/>
      <c r="B59" s="66"/>
      <c r="C59" s="66"/>
    </row>
    <row r="60" spans="1:3" ht="15.75" customHeight="1" x14ac:dyDescent="0.3">
      <c r="A60" s="139"/>
      <c r="B60" s="66"/>
      <c r="C60" s="66"/>
    </row>
    <row r="61" spans="1:3" ht="15.75" customHeight="1" x14ac:dyDescent="0.3">
      <c r="A61" s="139"/>
      <c r="B61" s="66"/>
      <c r="C61" s="66"/>
    </row>
    <row r="62" spans="1:3" ht="15.75" customHeight="1" x14ac:dyDescent="0.3">
      <c r="A62" s="139"/>
      <c r="B62" s="66"/>
      <c r="C62" s="66"/>
    </row>
    <row r="63" spans="1:3" ht="15.75" customHeight="1" x14ac:dyDescent="0.3">
      <c r="A63" s="139"/>
      <c r="B63" s="66"/>
      <c r="C63" s="66"/>
    </row>
    <row r="64" spans="1:3" ht="15.75" customHeight="1" x14ac:dyDescent="0.3">
      <c r="A64" s="139"/>
      <c r="B64" s="66"/>
      <c r="C64" s="66"/>
    </row>
    <row r="65" spans="1:3" ht="15.75" customHeight="1" x14ac:dyDescent="0.3">
      <c r="A65" s="139"/>
      <c r="B65" s="66"/>
      <c r="C65" s="66"/>
    </row>
    <row r="66" spans="1:3" ht="15.75" customHeight="1" x14ac:dyDescent="0.3">
      <c r="A66" s="139"/>
      <c r="B66" s="66"/>
      <c r="C66" s="66"/>
    </row>
    <row r="67" spans="1:3" ht="15.75" customHeight="1" x14ac:dyDescent="0.3">
      <c r="A67" s="139"/>
      <c r="B67" s="66"/>
      <c r="C67" s="66"/>
    </row>
    <row r="68" spans="1:3" ht="15.75" customHeight="1" x14ac:dyDescent="0.3">
      <c r="A68" s="139"/>
      <c r="B68" s="66"/>
      <c r="C68" s="66"/>
    </row>
    <row r="69" spans="1:3" ht="15.75" customHeight="1" x14ac:dyDescent="0.3">
      <c r="A69" s="139"/>
      <c r="B69" s="66"/>
      <c r="C69" s="66"/>
    </row>
    <row r="70" spans="1:3" ht="15.75" customHeight="1" x14ac:dyDescent="0.3">
      <c r="A70" s="139"/>
      <c r="B70" s="66"/>
      <c r="C70" s="66"/>
    </row>
    <row r="71" spans="1:3" ht="15.75" customHeight="1" x14ac:dyDescent="0.3">
      <c r="A71" s="139"/>
      <c r="B71" s="66"/>
      <c r="C71" s="66"/>
    </row>
    <row r="72" spans="1:3" ht="15.75" customHeight="1" x14ac:dyDescent="0.3"/>
    <row r="73" spans="1:3" ht="15.75" customHeight="1" x14ac:dyDescent="0.3"/>
    <row r="74" spans="1:3" ht="15.75" customHeight="1" x14ac:dyDescent="0.3"/>
    <row r="75" spans="1:3" ht="15.75" customHeight="1" x14ac:dyDescent="0.3"/>
    <row r="76" spans="1:3" ht="15.75" customHeight="1" x14ac:dyDescent="0.3"/>
    <row r="77" spans="1:3" ht="15.75" customHeight="1" x14ac:dyDescent="0.3"/>
    <row r="78" spans="1:3" ht="15.75" customHeight="1" x14ac:dyDescent="0.3"/>
    <row r="79" spans="1:3" ht="15.75" customHeight="1" x14ac:dyDescent="0.3"/>
    <row r="80" spans="1:3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E7EB42DD71754BB43B4DF49937317C" ma:contentTypeVersion="3" ma:contentTypeDescription="Crie um novo documento." ma:contentTypeScope="" ma:versionID="51883d676af72ed52ff9ba5033b6f5eb">
  <xsd:schema xmlns:xsd="http://www.w3.org/2001/XMLSchema" xmlns:xs="http://www.w3.org/2001/XMLSchema" xmlns:p="http://schemas.microsoft.com/office/2006/metadata/properties" xmlns:ns2="2314450c-3fa1-4f60-801d-50669e4a8483" targetNamespace="http://schemas.microsoft.com/office/2006/metadata/properties" ma:root="true" ma:fieldsID="589b43ac65e7b92ec7f55726d01461fe" ns2:_="">
    <xsd:import namespace="2314450c-3fa1-4f60-801d-50669e4a8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14450c-3fa1-4f60-801d-50669e4a8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BB34A0-F401-4133-8B95-B4ECD2E1A301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2314450c-3fa1-4f60-801d-50669e4a8483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518FD49-22DF-4B9F-A612-7BFBEF3CD6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4DF61C-E72B-4C30-9340-BEBA88BC0D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14450c-3fa1-4f60-801d-50669e4a8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Apresentação</vt:lpstr>
      <vt:lpstr>Ponto de Equilibrio</vt:lpstr>
      <vt:lpstr>Movimento de Caixa</vt:lpstr>
      <vt:lpstr>Simulador</vt:lpstr>
      <vt:lpstr>Markup</vt:lpstr>
      <vt:lpstr>Encargos </vt:lpstr>
      <vt:lpstr>MEI</vt:lpstr>
      <vt:lpstr>SIMPLES</vt:lpstr>
      <vt:lpstr>Distribuição do Recebimento</vt:lpstr>
      <vt:lpstr>Analise do Preço de Compras</vt:lpstr>
      <vt:lpstr>Ficha Técnica</vt:lpstr>
      <vt:lpstr>Fluxo de Caixa Mensal</vt:lpstr>
      <vt:lpstr>Planilha1</vt:lpstr>
      <vt:lpstr>DRE  PREVISTO</vt:lpstr>
      <vt:lpstr>Parametrização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Otto</dc:creator>
  <cp:keywords/>
  <dc:description/>
  <cp:lastModifiedBy>Guest Blumenau</cp:lastModifiedBy>
  <cp:revision/>
  <dcterms:created xsi:type="dcterms:W3CDTF">2012-06-15T21:18:05Z</dcterms:created>
  <dcterms:modified xsi:type="dcterms:W3CDTF">2026-06-10T00:41:23Z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0x01010093E7EB42DD71754BB43B4DF49937317C</vt:lpwstr>
  </property>
</Properties>
</file>